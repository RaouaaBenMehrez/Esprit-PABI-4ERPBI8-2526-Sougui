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 firstSheet="1" activeTab="1"/>
  </bookViews>
  <sheets>
    <sheet name="Page d'acceuil" sheetId="1" r:id="rId1"/>
    <sheet name="Suivi des Ventes" sheetId="4" r:id="rId2"/>
    <sheet name="Suivi Des Achats" sheetId="5" r:id="rId3"/>
  </sheets>
  <definedNames>
    <definedName name="Segment_Société">#N/A</definedName>
    <definedName name="Segment_Société1">#N/A</definedName>
    <definedName name="_xlnm.Print_Area" localSheetId="2">'Suivi Des Achats'!$B$1:$U$91</definedName>
    <definedName name="_xlnm.Print_Area" localSheetId="1">'Suivi des Ventes'!$B$1:$W$45</definedName>
  </definedNames>
  <calcPr calcId="191029"/>
  <extLs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4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<sst xmlns="http://schemas.openxmlformats.org/spreadsheetml/2006/main" count="421" uniqueCount="222">
  <si>
    <t xml:space="preserve">SUIVI DES PAIEMENTS ET DES RELANCES CLIENTS </t>
  </si>
  <si>
    <t>Dénomination</t>
  </si>
  <si>
    <t>SOUGUI E SHOP</t>
  </si>
  <si>
    <t>Adresse</t>
  </si>
  <si>
    <t>18, Rue Mokhtar Attia, 2033, Megrine,
Ben Arous - Tunisie.</t>
  </si>
  <si>
    <t>Mail</t>
  </si>
  <si>
    <t>contact@sougui.tn</t>
  </si>
  <si>
    <t>Date création entreprise</t>
  </si>
  <si>
    <t>2022</t>
  </si>
  <si>
    <t>Forme juridique</t>
  </si>
  <si>
    <t>SARL</t>
  </si>
  <si>
    <t>MF</t>
  </si>
  <si>
    <t>M.F. 1797689/E</t>
  </si>
  <si>
    <t xml:space="preserve">Activité </t>
  </si>
  <si>
    <t>Vente des produits Artisanaux</t>
  </si>
  <si>
    <t xml:space="preserve">Aujourd'hui : </t>
  </si>
  <si>
    <t>Société</t>
  </si>
  <si>
    <t xml:space="preserve">Nom du client </t>
  </si>
  <si>
    <t xml:space="preserve">N°Facture </t>
  </si>
  <si>
    <t>Date de facture</t>
  </si>
  <si>
    <t>Montant HT</t>
  </si>
  <si>
    <t>Taux de TVA</t>
  </si>
  <si>
    <t>Timbre</t>
  </si>
  <si>
    <t>Montant de la TVA</t>
  </si>
  <si>
    <t>Montant TTC</t>
  </si>
  <si>
    <t>Retenue à la source</t>
  </si>
  <si>
    <t>Versements effectués par le client</t>
  </si>
  <si>
    <t>Reste dû</t>
  </si>
  <si>
    <t xml:space="preserve">Action à effectuer </t>
  </si>
  <si>
    <t xml:space="preserve">Délai de paiement accordé au client </t>
  </si>
  <si>
    <t>Date d'échéance</t>
  </si>
  <si>
    <t xml:space="preserve">Date de paiement total de la facture </t>
  </si>
  <si>
    <t xml:space="preserve">Retard de paiement (en jours) </t>
  </si>
  <si>
    <t xml:space="preserve">mode de règlement </t>
  </si>
  <si>
    <t xml:space="preserve">Date de la première relance </t>
  </si>
  <si>
    <t>Date de la deuxième relance</t>
  </si>
  <si>
    <t xml:space="preserve">Pénalité et majoration de paiement </t>
  </si>
  <si>
    <t xml:space="preserve">Commentaire </t>
  </si>
  <si>
    <t>WIFAK BANK</t>
  </si>
  <si>
    <t>Chèque</t>
  </si>
  <si>
    <t>Vente Couffins</t>
  </si>
  <si>
    <t>STRAM</t>
  </si>
  <si>
    <t>Zeineb</t>
  </si>
  <si>
    <t>2023-051</t>
  </si>
  <si>
    <t>Vente 100 coffret Bloc Notes ( le montant restant , c'est la Retenue à la source)</t>
  </si>
  <si>
    <t>BH BANK</t>
  </si>
  <si>
    <t>2023-053</t>
  </si>
  <si>
    <t>Virement</t>
  </si>
  <si>
    <t>Vente 90 Carafes Belar + Emballage</t>
  </si>
  <si>
    <t>GPS CONSULTING</t>
  </si>
  <si>
    <t>2023-056</t>
  </si>
  <si>
    <t xml:space="preserve">Vente Porte clés </t>
  </si>
  <si>
    <t xml:space="preserve">  </t>
  </si>
  <si>
    <t>SOFIA TECH</t>
  </si>
  <si>
    <t>2023-057</t>
  </si>
  <si>
    <t>Vente Lunch Box (64,973 le montant restant Retenue à la source)</t>
  </si>
  <si>
    <t>SAMFI</t>
  </si>
  <si>
    <t>2023-062</t>
  </si>
  <si>
    <t>Vente Services</t>
  </si>
  <si>
    <t>2024-005</t>
  </si>
  <si>
    <t>Facture Calligraphie 2 modeles</t>
  </si>
  <si>
    <t>2024-003</t>
  </si>
  <si>
    <t>Facture Service</t>
  </si>
  <si>
    <t>FAC24-012</t>
  </si>
  <si>
    <t>Vente Support QR codee en bois</t>
  </si>
  <si>
    <t>FAC24-013</t>
  </si>
  <si>
    <t>Force Management</t>
  </si>
  <si>
    <t>FAC24-014</t>
  </si>
  <si>
    <t>Payé</t>
  </si>
  <si>
    <t>Espèces</t>
  </si>
  <si>
    <t>Vente jeu ness bekri 9alou</t>
  </si>
  <si>
    <t>FAC24-015</t>
  </si>
  <si>
    <t>Vente porte clés  QR CODE</t>
  </si>
  <si>
    <t>FAC24-016</t>
  </si>
  <si>
    <t>Vente SAMFI</t>
  </si>
  <si>
    <t>FAC24-017</t>
  </si>
  <si>
    <t>Attijari Bank</t>
  </si>
  <si>
    <t>FAC24-02</t>
  </si>
  <si>
    <t>Vente 1000 coffrets carafe + cuivre</t>
  </si>
  <si>
    <t>FAC24-018</t>
  </si>
  <si>
    <t>Attijari Leasing</t>
  </si>
  <si>
    <t>FAC24-010</t>
  </si>
  <si>
    <t>Vente coffrets carafe+ cuivre</t>
  </si>
  <si>
    <t>Tunisia Call Center</t>
  </si>
  <si>
    <t>FAC24-022</t>
  </si>
  <si>
    <t>FAC24-024</t>
  </si>
  <si>
    <t>Vente 430 coffrets mrach mathred</t>
  </si>
  <si>
    <t>Foire national Sousse</t>
  </si>
  <si>
    <t>TOTAUX</t>
  </si>
  <si>
    <t>(montant HT factures)</t>
  </si>
  <si>
    <t>(montants TVA factures)</t>
  </si>
  <si>
    <t>(montants TTC factures)</t>
  </si>
  <si>
    <t>(versements déjà effectués)</t>
  </si>
  <si>
    <t>(reste dû)</t>
  </si>
  <si>
    <t>(moyenne délai de paiement accordé aux clients)</t>
  </si>
  <si>
    <t>(moyenne retard de paiement en jours)</t>
  </si>
  <si>
    <t xml:space="preserve">Nom du Fournisseur </t>
  </si>
  <si>
    <t>FODEC</t>
  </si>
  <si>
    <t xml:space="preserve">Retenue </t>
  </si>
  <si>
    <t>Versements effectués par SOUGUI</t>
  </si>
  <si>
    <t>SMPA</t>
  </si>
  <si>
    <t>F0590</t>
  </si>
  <si>
    <t>Travaux et Maintenance Local</t>
  </si>
  <si>
    <t>F0824</t>
  </si>
  <si>
    <t>F0951</t>
  </si>
  <si>
    <t>F1100</t>
  </si>
  <si>
    <t>F1248</t>
  </si>
  <si>
    <t>F1320</t>
  </si>
  <si>
    <t>SNAPRINT</t>
  </si>
  <si>
    <t>Dhia Ferchichi</t>
  </si>
  <si>
    <t>2023-0195</t>
  </si>
  <si>
    <t>Porte Clés en Plexi</t>
  </si>
  <si>
    <t>F1496</t>
  </si>
  <si>
    <t>Maison D'Art</t>
  </si>
  <si>
    <t>Bousslimi Sofian</t>
  </si>
  <si>
    <t xml:space="preserve">Bouchon Carafe </t>
  </si>
  <si>
    <t>Kamel Hidri</t>
  </si>
  <si>
    <t>-</t>
  </si>
  <si>
    <t>Sous tasse</t>
  </si>
  <si>
    <t>TOUT BUREAU</t>
  </si>
  <si>
    <t>F2313884</t>
  </si>
  <si>
    <t>Impression Bloc Note</t>
  </si>
  <si>
    <t>NATBAG</t>
  </si>
  <si>
    <t>Imen Dassi</t>
  </si>
  <si>
    <t xml:space="preserve">000059
</t>
  </si>
  <si>
    <t>Emballage Carafes</t>
  </si>
  <si>
    <t>Oriental Design</t>
  </si>
  <si>
    <t>20230162V</t>
  </si>
  <si>
    <t>50 Carafes</t>
  </si>
  <si>
    <t xml:space="preserve">Fehri Bel hadj </t>
  </si>
  <si>
    <t>022/2023</t>
  </si>
  <si>
    <t>2023-01955</t>
  </si>
  <si>
    <t xml:space="preserve">Lunch Box </t>
  </si>
  <si>
    <t>KACO SA</t>
  </si>
  <si>
    <t>Malek Othman</t>
  </si>
  <si>
    <t>Coffret Bloc note ( TVA + FODEC)</t>
  </si>
  <si>
    <t>F1558</t>
  </si>
  <si>
    <t>ASCOM</t>
  </si>
  <si>
    <t>FC256</t>
  </si>
  <si>
    <t>Frais  Calligraphe</t>
  </si>
  <si>
    <t>Bouchon Carafe ( a déclarer février 2024)</t>
  </si>
  <si>
    <t>My Print Tunisia</t>
  </si>
  <si>
    <t xml:space="preserve">Coffrets Sougui diffiseurs </t>
  </si>
  <si>
    <t>Helmi Abbassi</t>
  </si>
  <si>
    <t>Helmi</t>
  </si>
  <si>
    <t>Roll up , Flyers et tirage - foire Sousse</t>
  </si>
  <si>
    <t>Ben Ghorbal Kawther</t>
  </si>
  <si>
    <t>Achats 250 Sacs</t>
  </si>
  <si>
    <t>Cabinet Fethi Hamrouni</t>
  </si>
  <si>
    <t>Fethi Hamrouni</t>
  </si>
  <si>
    <t>ac073/24</t>
  </si>
  <si>
    <t>Orange Tunisie</t>
  </si>
  <si>
    <t>Foire International Sousse</t>
  </si>
  <si>
    <t>Salon Artisanat</t>
  </si>
  <si>
    <t>FA2400470</t>
  </si>
  <si>
    <t>Location Stand foire</t>
  </si>
  <si>
    <t>ALCHIMY</t>
  </si>
  <si>
    <t>Moez Bouachir</t>
  </si>
  <si>
    <t>FAC023</t>
  </si>
  <si>
    <t>Parfum et bougies</t>
  </si>
  <si>
    <t>BIO SPACE</t>
  </si>
  <si>
    <t>Jihed</t>
  </si>
  <si>
    <t xml:space="preserve">Diffuseurs </t>
  </si>
  <si>
    <t>Achat verres+ carafes ( marché tijari)</t>
  </si>
  <si>
    <t>3P</t>
  </si>
  <si>
    <t>FAC241984</t>
  </si>
  <si>
    <t>SBCD</t>
  </si>
  <si>
    <t>FA244908</t>
  </si>
  <si>
    <t>LEM</t>
  </si>
  <si>
    <t>Emna Jouni</t>
  </si>
  <si>
    <t>FAC52</t>
  </si>
  <si>
    <t>FA244776</t>
  </si>
  <si>
    <t>KOBOX</t>
  </si>
  <si>
    <t>FAC-242412</t>
  </si>
  <si>
    <t>FAC-242381</t>
  </si>
  <si>
    <t>Karim Balah</t>
  </si>
  <si>
    <t>432 mrach + mathred</t>
  </si>
  <si>
    <t>EL FEKI BILEL</t>
  </si>
  <si>
    <t xml:space="preserve">Stock pour sougui : Jeu d'échecs + plat </t>
  </si>
  <si>
    <t>Yosra Sayah</t>
  </si>
  <si>
    <t>Product Designer</t>
  </si>
  <si>
    <t>Recharge carte tech</t>
  </si>
  <si>
    <t>Majdi PHOTOGRAPHE</t>
  </si>
  <si>
    <t>Sofien Cherif</t>
  </si>
  <si>
    <t>CNSS</t>
  </si>
  <si>
    <t>Penalité</t>
  </si>
  <si>
    <t xml:space="preserve">Pénalité </t>
  </si>
  <si>
    <t>Facture police</t>
  </si>
  <si>
    <t>Lazhar Riahi</t>
  </si>
  <si>
    <t>Achat moutons en laine</t>
  </si>
  <si>
    <t>Riadh Laouiti</t>
  </si>
  <si>
    <t>Achat stock céramique</t>
  </si>
  <si>
    <t>Achat petit stock carafes et verres</t>
  </si>
  <si>
    <t>cnss</t>
  </si>
  <si>
    <t>Zitoun Artisanat</t>
  </si>
  <si>
    <t>Chedly Gara</t>
  </si>
  <si>
    <t>Outils emballage</t>
  </si>
  <si>
    <t>Papier bulle + cellophane+ scotch ..</t>
  </si>
  <si>
    <t>Open Space Lab</t>
  </si>
  <si>
    <t>Gaya</t>
  </si>
  <si>
    <t>Jeux bittounsi</t>
  </si>
  <si>
    <t>Soumaya S</t>
  </si>
  <si>
    <t>Zoub ceramic</t>
  </si>
  <si>
    <t>FCT-NAT000012</t>
  </si>
  <si>
    <t>1000 coffrets attijari</t>
  </si>
  <si>
    <t>Yassin Calligraphie</t>
  </si>
  <si>
    <t>3 COFFETS ATTIJARI</t>
  </si>
  <si>
    <t xml:space="preserve"> 600 PORTE CL2 WIFAK</t>
  </si>
  <si>
    <t>Cartons Fouchana</t>
  </si>
  <si>
    <t xml:space="preserve">Cartons marché tijari </t>
  </si>
  <si>
    <t>Transport Fehri</t>
  </si>
  <si>
    <t>Mondher cuivre</t>
  </si>
  <si>
    <t>Huissier Notaire</t>
  </si>
  <si>
    <t>Ridha Chammem</t>
  </si>
  <si>
    <t>moez cire</t>
  </si>
  <si>
    <t>Dorry Bio</t>
  </si>
  <si>
    <t>l'mprimheure</t>
  </si>
  <si>
    <t>Wassim drira</t>
  </si>
  <si>
    <t xml:space="preserve">* Pour la facture de Maison d'Art , je vais la déclarer en Février 2024  donc le montants  vont être comme suit : </t>
  </si>
  <si>
    <t>Montant HT = 4882,5</t>
  </si>
  <si>
    <t>Montant de la TVA = 468,062</t>
  </si>
  <si>
    <t>Montant TTC = 5350 , 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</si>
</sst>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&quot;-&quot;??\ &quot;€&quot;_-;_-@_-"/>
    <numFmt numFmtId="177" formatCode="_-&quot;€&quot;* #,##0_-;\-&quot;€&quot;* #,##0_-;_-&quot;€&quot;* \-_-;_-@_-"/>
    <numFmt numFmtId="178" formatCode="#,##0.00\ &quot;€&quot;"/>
    <numFmt numFmtId="179" formatCode="_-* #,##0.00\ _€_-;\-* #,##0.00\ _€_-;_-* &quot;-&quot;??\ _€_-;_-@_-"/>
    <numFmt numFmtId="180" formatCode="_-* #,##0.00\ [$TND]_-;\-* #,##0.00\ [$TND]_-;_-* &quot;-&quot;??\ [$TND]_-;_-@_-"/>
    <numFmt numFmtId="181" formatCode="_-* #,##0.0\ [$TND]_-;\-* #,##0.0\ [$TND]_-;_-* &quot;-&quot;??\ [$TND]_-;_-@_-"/>
    <numFmt numFmtId="182" formatCode="_-* #,##0.000\ [$TND]_-;\-* #,##0.000\ [$TND]_-;_-* &quot;-&quot;??\ [$TND]_-;_-@_-"/>
  </numFmts>
  <fonts count="51">
    <font>
      <sz val="11"/>
      <color theme="1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sz val="10"/>
      <color theme="1"/>
      <name val="Arial"/>
      <charset val="134"/>
    </font>
    <font>
      <b/>
      <sz val="14"/>
      <color theme="1"/>
      <name val="Calibri"/>
      <charset val="134"/>
      <scheme val="minor"/>
    </font>
    <font>
      <b/>
      <sz val="12"/>
      <color theme="0"/>
      <name val="Arial"/>
      <charset val="134"/>
    </font>
    <font>
      <b/>
      <sz val="12"/>
      <color rgb="FF002060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rgb="FFFF0000"/>
      <name val="Arial"/>
      <charset val="134"/>
    </font>
    <font>
      <sz val="11"/>
      <color theme="4" tint="-0.249977111117893"/>
      <name val="Arial"/>
      <charset val="134"/>
    </font>
    <font>
      <b/>
      <sz val="12"/>
      <color theme="4" tint="-0.249977111117893"/>
      <name val="Arial"/>
      <charset val="134"/>
    </font>
    <font>
      <b/>
      <sz val="14"/>
      <color theme="4" tint="-0.249977111117893"/>
      <name val="Arial"/>
      <charset val="134"/>
    </font>
    <font>
      <b/>
      <sz val="16"/>
      <color theme="4" tint="-0.249977111117893"/>
      <name val="Calibri"/>
      <charset val="134"/>
      <scheme val="minor"/>
    </font>
    <font>
      <b/>
      <sz val="11"/>
      <color theme="4" tint="-0.249977111117893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b/>
      <sz val="16"/>
      <color theme="4" tint="-0.249977111117893"/>
      <name val="Arial"/>
      <charset val="134"/>
    </font>
    <font>
      <b/>
      <sz val="22"/>
      <color theme="0"/>
      <name val="Arial"/>
      <charset val="134"/>
    </font>
    <font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4"/>
      <color rgb="FF990033"/>
      <name val="Arial"/>
      <charset val="134"/>
    </font>
    <font>
      <b/>
      <sz val="18"/>
      <color theme="0"/>
      <name val="Arial"/>
      <charset val="134"/>
    </font>
    <font>
      <b/>
      <sz val="18"/>
      <name val="Arial"/>
      <charset val="134"/>
    </font>
    <font>
      <b/>
      <sz val="16"/>
      <name val="Arial"/>
      <charset val="134"/>
    </font>
    <font>
      <u/>
      <sz val="18"/>
      <color theme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582800"/>
      <name val="Arial"/>
      <charset val="134"/>
    </font>
    <font>
      <sz val="10"/>
      <name val="Arial"/>
      <charset val="134"/>
    </font>
    <font>
      <sz val="11"/>
      <color rgb="FF31849B"/>
      <name val="Arial"/>
      <charset val="134"/>
    </font>
    <font>
      <b/>
      <sz val="10"/>
      <color rgb="FF215868"/>
      <name val="Arial"/>
      <charset val="134"/>
    </font>
    <font>
      <b/>
      <sz val="12"/>
      <color rgb="FFFF9429"/>
      <name val="Arial"/>
      <charset val="134"/>
    </font>
    <font>
      <b/>
      <sz val="16"/>
      <color rgb="FF215868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BCC"/>
        <bgColor indexed="64"/>
      </patternFill>
    </fill>
    <fill>
      <patternFill patternType="solid">
        <fgColor rgb="FFFFD85D"/>
        <bgColor indexed="64"/>
      </patternFill>
    </fill>
  </fills>
  <borders count="20">
    <border>
      <left/>
      <right/>
      <top/>
      <bottom/>
      <diagonal/>
    </border>
    <border>
      <left style="hair">
        <color rgb="FF990033"/>
      </left>
      <right style="hair">
        <color rgb="FF990033"/>
      </right>
      <top style="hair">
        <color rgb="FF990033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rgb="FF990033"/>
      </left>
      <right style="hair">
        <color rgb="FF990033"/>
      </right>
      <top style="hair">
        <color rgb="FF990033"/>
      </top>
      <bottom style="hair">
        <color rgb="FF9900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14" applyNumberFormat="0" applyAlignment="0" applyProtection="0">
      <alignment vertical="center"/>
    </xf>
    <xf numFmtId="0" fontId="35" fillId="10" borderId="15" applyNumberFormat="0" applyAlignment="0" applyProtection="0">
      <alignment vertical="center"/>
    </xf>
    <xf numFmtId="0" fontId="36" fillId="10" borderId="14" applyNumberFormat="0" applyAlignment="0" applyProtection="0">
      <alignment vertical="center"/>
    </xf>
    <xf numFmtId="0" fontId="37" fillId="11" borderId="16" applyNumberFormat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78" fontId="4" fillId="37" borderId="19" applyNumberFormat="0" applyProtection="0"/>
    <xf numFmtId="0" fontId="45" fillId="38" borderId="19" applyNumberFormat="0" applyProtection="0"/>
    <xf numFmtId="179" fontId="0" fillId="0" borderId="0" applyFont="0" applyFill="0" applyBorder="0" applyAlignment="0" applyProtection="0"/>
    <xf numFmtId="0" fontId="46" fillId="0" borderId="0"/>
    <xf numFmtId="0" fontId="47" fillId="2" borderId="0"/>
    <xf numFmtId="0" fontId="48" fillId="2" borderId="0"/>
    <xf numFmtId="0" fontId="49" fillId="2" borderId="0">
      <alignment horizontal="left" indent="4"/>
    </xf>
    <xf numFmtId="0" fontId="50" fillId="2" borderId="0"/>
  </cellStyleXfs>
  <cellXfs count="87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180" fontId="0" fillId="2" borderId="0" xfId="2" applyNumberFormat="1" applyFont="1" applyFill="1"/>
    <xf numFmtId="180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58" fontId="3" fillId="2" borderId="0" xfId="0" applyNumberFormat="1" applyFont="1" applyFill="1"/>
    <xf numFmtId="0" fontId="4" fillId="3" borderId="1" xfId="0" applyFont="1" applyFill="1" applyBorder="1" applyAlignment="1" applyProtection="1">
      <alignment horizontal="center" vertical="center" wrapText="1"/>
      <protection hidden="1"/>
    </xf>
    <xf numFmtId="180" fontId="4" fillId="3" borderId="1" xfId="2" applyNumberFormat="1" applyFont="1" applyFill="1" applyBorder="1" applyAlignment="1" applyProtection="1">
      <alignment horizontal="center" vertical="center" wrapText="1"/>
      <protection hidden="1"/>
    </xf>
    <xf numFmtId="178" fontId="5" fillId="2" borderId="0" xfId="0" applyNumberFormat="1" applyFont="1" applyFill="1" applyAlignment="1">
      <alignment wrapText="1"/>
    </xf>
    <xf numFmtId="0" fontId="6" fillId="4" borderId="2" xfId="0" applyFont="1" applyFill="1" applyBorder="1" applyAlignment="1" applyProtection="1">
      <alignment horizontal="center" vertical="center"/>
      <protection locked="0"/>
    </xf>
    <xf numFmtId="58" fontId="7" fillId="4" borderId="2" xfId="0" applyNumberFormat="1" applyFont="1" applyFill="1" applyBorder="1" applyAlignment="1" applyProtection="1">
      <alignment horizontal="center" vertical="center"/>
      <protection locked="0"/>
    </xf>
    <xf numFmtId="180" fontId="7" fillId="4" borderId="2" xfId="2" applyNumberFormat="1" applyFont="1" applyFill="1" applyBorder="1" applyAlignment="1" applyProtection="1">
      <alignment horizontal="right" vertical="center"/>
      <protection locked="0"/>
    </xf>
    <xf numFmtId="9" fontId="7" fillId="4" borderId="2" xfId="0" applyNumberFormat="1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 vertical="center"/>
      <protection locked="0"/>
    </xf>
    <xf numFmtId="180" fontId="7" fillId="4" borderId="2" xfId="0" applyNumberFormat="1" applyFont="1" applyFill="1" applyBorder="1" applyAlignment="1" applyProtection="1">
      <alignment horizontal="center" vertical="center"/>
      <protection locked="0"/>
    </xf>
    <xf numFmtId="58" fontId="7" fillId="4" borderId="3" xfId="0" applyNumberFormat="1" applyFont="1" applyFill="1" applyBorder="1" applyAlignment="1" applyProtection="1">
      <alignment horizontal="center" vertical="center"/>
      <protection locked="0"/>
    </xf>
    <xf numFmtId="180" fontId="7" fillId="4" borderId="3" xfId="2" applyNumberFormat="1" applyFont="1" applyFill="1" applyBorder="1" applyAlignment="1" applyProtection="1">
      <alignment horizontal="right" vertical="center"/>
      <protection locked="0"/>
    </xf>
    <xf numFmtId="9" fontId="7" fillId="4" borderId="3" xfId="0" applyNumberFormat="1" applyFont="1" applyFill="1" applyBorder="1" applyAlignment="1" applyProtection="1">
      <alignment horizontal="center" vertical="center"/>
      <protection locked="0"/>
    </xf>
    <xf numFmtId="180" fontId="4" fillId="3" borderId="1" xfId="0" applyNumberFormat="1" applyFont="1" applyFill="1" applyBorder="1" applyAlignment="1" applyProtection="1">
      <alignment horizontal="center" vertical="center" wrapText="1"/>
      <protection hidden="1"/>
    </xf>
    <xf numFmtId="180" fontId="7" fillId="5" borderId="2" xfId="0" applyNumberFormat="1" applyFont="1" applyFill="1" applyBorder="1" applyAlignment="1">
      <alignment vertical="center"/>
    </xf>
    <xf numFmtId="180" fontId="7" fillId="4" borderId="2" xfId="0" applyNumberFormat="1" applyFont="1" applyFill="1" applyBorder="1" applyAlignment="1" applyProtection="1">
      <alignment vertical="center"/>
      <protection locked="0"/>
    </xf>
    <xf numFmtId="2" fontId="8" fillId="5" borderId="2" xfId="0" applyNumberFormat="1" applyFont="1" applyFill="1" applyBorder="1" applyAlignment="1">
      <alignment horizontal="center" vertical="center"/>
    </xf>
    <xf numFmtId="181" fontId="7" fillId="5" borderId="2" xfId="0" applyNumberFormat="1" applyFont="1" applyFill="1" applyBorder="1" applyAlignment="1">
      <alignment vertical="center"/>
    </xf>
    <xf numFmtId="181" fontId="7" fillId="4" borderId="2" xfId="0" applyNumberFormat="1" applyFont="1" applyFill="1" applyBorder="1" applyAlignment="1" applyProtection="1">
      <alignment vertical="center"/>
      <protection locked="0"/>
    </xf>
    <xf numFmtId="182" fontId="7" fillId="5" borderId="2" xfId="0" applyNumberFormat="1" applyFont="1" applyFill="1" applyBorder="1" applyAlignment="1">
      <alignment vertical="center"/>
    </xf>
    <xf numFmtId="180" fontId="7" fillId="5" borderId="2" xfId="2" applyNumberFormat="1" applyFont="1" applyFill="1" applyBorder="1" applyAlignment="1">
      <alignment vertical="center"/>
    </xf>
    <xf numFmtId="0" fontId="7" fillId="5" borderId="2" xfId="2" applyNumberFormat="1" applyFont="1" applyFill="1" applyBorder="1" applyAlignment="1">
      <alignment vertical="center"/>
    </xf>
    <xf numFmtId="180" fontId="7" fillId="4" borderId="2" xfId="2" applyNumberFormat="1" applyFont="1" applyFill="1" applyBorder="1" applyAlignment="1">
      <alignment vertical="center"/>
    </xf>
    <xf numFmtId="180" fontId="7" fillId="4" borderId="3" xfId="0" applyNumberFormat="1" applyFont="1" applyFill="1" applyBorder="1" applyAlignment="1" applyProtection="1">
      <alignment vertical="center"/>
      <protection locked="0"/>
    </xf>
    <xf numFmtId="180" fontId="7" fillId="4" borderId="2" xfId="0" applyNumberFormat="1" applyFont="1" applyFill="1" applyBorder="1" applyAlignment="1">
      <alignment vertical="center"/>
    </xf>
    <xf numFmtId="180" fontId="7" fillId="4" borderId="3" xfId="0" applyNumberFormat="1" applyFont="1" applyFill="1" applyBorder="1" applyAlignment="1">
      <alignment vertical="center"/>
    </xf>
    <xf numFmtId="178" fontId="7" fillId="5" borderId="2" xfId="0" applyNumberFormat="1" applyFont="1" applyFill="1" applyBorder="1" applyAlignment="1">
      <alignment vertical="center"/>
    </xf>
    <xf numFmtId="0" fontId="0" fillId="2" borderId="0" xfId="0" applyFill="1" applyAlignment="1">
      <alignment wrapText="1"/>
    </xf>
    <xf numFmtId="0" fontId="7" fillId="4" borderId="2" xfId="0" applyNumberFormat="1" applyFont="1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" xfId="0" applyNumberFormat="1" applyFont="1" applyFill="1" applyBorder="1" applyAlignment="1" applyProtection="1">
      <alignment horizontal="center" vertical="center"/>
      <protection locked="0"/>
    </xf>
    <xf numFmtId="0" fontId="7" fillId="4" borderId="4" xfId="0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178" fontId="10" fillId="2" borderId="7" xfId="0" applyNumberFormat="1" applyFont="1" applyFill="1" applyBorder="1" applyAlignment="1">
      <alignment vertical="center"/>
    </xf>
    <xf numFmtId="180" fontId="11" fillId="2" borderId="7" xfId="0" applyNumberFormat="1" applyFont="1" applyFill="1" applyBorder="1" applyAlignment="1">
      <alignment vertical="center"/>
    </xf>
    <xf numFmtId="178" fontId="11" fillId="2" borderId="7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180" fontId="13" fillId="2" borderId="0" xfId="2" applyNumberFormat="1" applyFont="1" applyFill="1" applyAlignment="1">
      <alignment horizontal="right" vertical="center" wrapText="1"/>
    </xf>
    <xf numFmtId="0" fontId="14" fillId="6" borderId="0" xfId="0" applyFont="1" applyFill="1"/>
    <xf numFmtId="0" fontId="14" fillId="2" borderId="0" xfId="0" applyFont="1" applyFill="1"/>
    <xf numFmtId="2" fontId="8" fillId="5" borderId="3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vertical="center"/>
    </xf>
    <xf numFmtId="1" fontId="10" fillId="2" borderId="7" xfId="0" applyNumberFormat="1" applyFont="1" applyFill="1" applyBorder="1" applyAlignment="1">
      <alignment vertical="center"/>
    </xf>
    <xf numFmtId="0" fontId="13" fillId="2" borderId="0" xfId="0" applyFont="1" applyFill="1" applyAlignment="1">
      <alignment horizontal="right" vertical="center" wrapText="1"/>
    </xf>
    <xf numFmtId="180" fontId="13" fillId="2" borderId="0" xfId="0" applyNumberFormat="1" applyFont="1" applyFill="1" applyAlignment="1">
      <alignment horizontal="right" vertical="center" wrapText="1"/>
    </xf>
    <xf numFmtId="0" fontId="13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10" fillId="2" borderId="7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/>
    </xf>
    <xf numFmtId="0" fontId="15" fillId="2" borderId="0" xfId="0" applyFont="1" applyFill="1"/>
    <xf numFmtId="58" fontId="7" fillId="6" borderId="2" xfId="0" applyNumberFormat="1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right" vertical="center"/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58" fontId="7" fillId="4" borderId="9" xfId="0" applyNumberFormat="1" applyFont="1" applyFill="1" applyBorder="1" applyAlignment="1" applyProtection="1">
      <alignment horizontal="center" vertical="center"/>
      <protection locked="0"/>
    </xf>
    <xf numFmtId="0" fontId="7" fillId="4" borderId="9" xfId="0" applyFont="1" applyFill="1" applyBorder="1" applyAlignment="1" applyProtection="1">
      <alignment horizontal="right" vertical="center"/>
      <protection locked="0"/>
    </xf>
    <xf numFmtId="9" fontId="7" fillId="4" borderId="9" xfId="0" applyNumberFormat="1" applyFont="1" applyFill="1" applyBorder="1" applyAlignment="1" applyProtection="1">
      <alignment horizontal="center" vertical="center"/>
      <protection locked="0"/>
    </xf>
    <xf numFmtId="58" fontId="7" fillId="5" borderId="2" xfId="0" applyNumberFormat="1" applyFont="1" applyFill="1" applyBorder="1" applyAlignment="1">
      <alignment horizontal="center" vertical="center"/>
    </xf>
    <xf numFmtId="178" fontId="7" fillId="4" borderId="2" xfId="0" applyNumberFormat="1" applyFont="1" applyFill="1" applyBorder="1" applyAlignment="1" applyProtection="1">
      <alignment vertical="center"/>
      <protection locked="0"/>
    </xf>
    <xf numFmtId="180" fontId="7" fillId="5" borderId="9" xfId="0" applyNumberFormat="1" applyFont="1" applyFill="1" applyBorder="1" applyAlignment="1">
      <alignment vertical="center"/>
    </xf>
    <xf numFmtId="178" fontId="7" fillId="4" borderId="9" xfId="0" applyNumberFormat="1" applyFont="1" applyFill="1" applyBorder="1" applyAlignment="1" applyProtection="1">
      <alignment vertical="center"/>
      <protection locked="0"/>
    </xf>
    <xf numFmtId="1" fontId="11" fillId="2" borderId="7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7" fillId="4" borderId="9" xfId="0" applyFont="1" applyFill="1" applyBorder="1" applyAlignment="1" applyProtection="1">
      <alignment horizontal="center" vertical="center"/>
      <protection locked="0"/>
    </xf>
    <xf numFmtId="0" fontId="16" fillId="5" borderId="9" xfId="0" applyFont="1" applyFill="1" applyBorder="1" applyAlignment="1">
      <alignment horizontal="center" vertical="center"/>
    </xf>
    <xf numFmtId="1" fontId="17" fillId="2" borderId="7" xfId="0" applyNumberFormat="1" applyFont="1" applyFill="1" applyBorder="1" applyAlignment="1">
      <alignment horizontal="center" vertical="center"/>
    </xf>
    <xf numFmtId="0" fontId="0" fillId="3" borderId="0" xfId="0" applyFont="1" applyFill="1"/>
    <xf numFmtId="0" fontId="0" fillId="2" borderId="0" xfId="0" applyFont="1" applyFill="1"/>
    <xf numFmtId="0" fontId="18" fillId="3" borderId="0" xfId="0" applyFont="1" applyFill="1" applyAlignment="1">
      <alignment horizontal="left" vertical="center"/>
    </xf>
    <xf numFmtId="58" fontId="18" fillId="3" borderId="0" xfId="0" applyNumberFormat="1" applyFont="1" applyFill="1" applyAlignment="1">
      <alignment horizontal="center" vertical="center"/>
    </xf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3" borderId="10" xfId="0" applyFont="1" applyFill="1" applyBorder="1" applyAlignment="1">
      <alignment horizontal="left"/>
    </xf>
    <xf numFmtId="49" fontId="23" fillId="7" borderId="10" xfId="2" applyNumberFormat="1" applyFont="1" applyFill="1" applyBorder="1" applyProtection="1">
      <protection locked="0"/>
    </xf>
    <xf numFmtId="49" fontId="24" fillId="7" borderId="10" xfId="2" applyNumberFormat="1" applyFont="1" applyFill="1" applyBorder="1" applyAlignment="1" applyProtection="1">
      <alignment wrapText="1"/>
      <protection locked="0"/>
    </xf>
    <xf numFmtId="49" fontId="25" fillId="7" borderId="10" xfId="6" applyNumberFormat="1" applyFont="1" applyFill="1" applyBorder="1" applyProtection="1">
      <protection locked="0"/>
    </xf>
    <xf numFmtId="49" fontId="23" fillId="7" borderId="10" xfId="2" applyNumberFormat="1" applyFont="1" applyFill="1" applyBorder="1" applyAlignment="1" applyProtection="1">
      <alignment wrapText="1"/>
      <protection locked="0"/>
    </xf>
    <xf numFmtId="58" fontId="23" fillId="7" borderId="10" xfId="2" applyNumberFormat="1" applyFont="1" applyFill="1" applyBorder="1" applyAlignment="1" applyProtection="1">
      <alignment horizontal="left"/>
      <protection locked="0"/>
    </xf>
  </cellXfs>
  <cellStyles count="57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Bleu Clair" xfId="49"/>
    <cellStyle name="Jaune" xfId="50"/>
    <cellStyle name="Milliers 2" xfId="51"/>
    <cellStyle name="Normal 3" xfId="52"/>
    <cellStyle name="Texte Aide" xfId="53"/>
    <cellStyle name="Texte gras Aide" xfId="54"/>
    <cellStyle name="Titre 2 aide" xfId="55"/>
    <cellStyle name="Titre Aide" xfId="56"/>
  </cellStyles>
  <dxfs count="28">
    <dxf>
      <font>
        <name val="Arial"/>
        <scheme val="none"/>
        <b val="1"/>
        <strike val="0"/>
        <u val="none"/>
        <sz val="11"/>
        <color theme="1"/>
      </font>
      <fill>
        <patternFill patternType="solid">
          <bgColor theme="9" tint="0.799920651875362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/>
    </dxf>
    <dxf>
      <font>
        <name val="Arial"/>
        <scheme val="none"/>
        <b val="1"/>
        <i val="0"/>
        <strike val="0"/>
        <u val="none"/>
        <sz val="11"/>
        <color theme="1"/>
      </font>
      <fill>
        <patternFill patternType="solid">
          <bgColor theme="9" tint="0.799920651875362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/>
    </dxf>
    <dxf>
      <font>
        <name val="Arial"/>
        <scheme val="none"/>
        <b val="1"/>
        <strike val="0"/>
        <u val="none"/>
        <sz val="11"/>
        <color theme="1"/>
      </font>
      <fill>
        <patternFill patternType="solid">
          <bgColor theme="9" tint="0.799920651875362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/>
    </dxf>
    <dxf>
      <font>
        <name val="Arial"/>
        <scheme val="none"/>
        <b val="0"/>
        <i val="0"/>
        <strike val="0"/>
        <u val="none"/>
        <sz val="11"/>
        <color theme="1"/>
      </font>
      <fill>
        <patternFill patternType="solid">
          <bgColor theme="9" tint="0.799920651875362"/>
        </patternFill>
      </fill>
      <alignment horizontal="right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/>
    </dxf>
    <dxf>
      <font>
        <name val="Arial"/>
        <scheme val="none"/>
        <b val="0"/>
        <i val="0"/>
        <strike val="0"/>
        <u val="none"/>
        <sz val="11"/>
        <color theme="1"/>
      </font>
      <numFmt numFmtId="9" formatCode="0%"/>
      <fill>
        <patternFill patternType="solid">
          <bgColor theme="9" tint="0.799920651875362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/>
    </dxf>
    <dxf>
      <numFmt numFmtId="180" formatCode="_-* #,##0.00\ [$TND]_-;\-* #,##0.00\ [$TND]_-;_-* &quot;-&quot;??\ [$TND]_-;_-@_-"/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.00\ [$TND]_-;\-* #,##0.00\ [$TND]_-;_-* &quot;-&quot;??\ [$TND]_-;_-@_-"/>
      <fill>
        <patternFill patternType="solid">
          <bgColor theme="7" tint="0.799920651875362"/>
        </patternFill>
      </fill>
      <alignment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.00\ [$TND]_-;\-* #,##0.00\ [$TND]_-;_-* &quot;-&quot;??\ [$TND]_-;_-@_-"/>
      <fill>
        <patternFill patternType="solid">
          <bgColor theme="7" tint="0.799920651875362"/>
        </patternFill>
      </fill>
      <alignment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.00\ [$TND]_-;\-* #,##0.00\ [$TND]_-;_-* &quot;-&quot;??\ [$TND]_-;_-@_-"/>
      <fill>
        <patternFill patternType="solid">
          <bgColor theme="7" tint="0.799920651875362"/>
        </patternFill>
      </fill>
      <alignment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theme="9" tint="-0.249946592608417"/>
      </font>
    </dxf>
    <dxf>
      <font>
        <color rgb="FF9C0006"/>
      </font>
    </dxf>
    <dxf>
      <font>
        <name val="Arial"/>
        <scheme val="none"/>
        <b val="1"/>
        <strike val="0"/>
        <u val="none"/>
        <sz val="11"/>
        <color theme="1"/>
      </font>
      <fill>
        <patternFill patternType="solid">
          <bgColor theme="9" tint="0.799920651875362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/>
    </dxf>
    <dxf>
      <font>
        <name val="Arial"/>
        <scheme val="none"/>
        <b val="1"/>
        <i val="0"/>
        <strike val="0"/>
        <u val="none"/>
        <sz val="11"/>
        <color theme="1"/>
      </font>
      <fill>
        <patternFill patternType="solid">
          <bgColor theme="9" tint="0.799920651875362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/>
    </dxf>
    <dxf>
      <font>
        <name val="Arial"/>
        <scheme val="none"/>
        <b val="1"/>
        <strike val="0"/>
        <u val="none"/>
        <sz val="11"/>
        <color theme="1"/>
      </font>
      <fill>
        <patternFill patternType="solid">
          <bgColor theme="9" tint="0.799920651875362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/>
    </dxf>
    <dxf>
      <numFmt numFmtId="58" formatCode="dd/mm/yyyy"/>
    </dxf>
    <dxf>
      <numFmt numFmtId="180" formatCode="_-* #,##0.00\ [$TND]_-;\-* #,##0.00\ [$TND]_-;_-* &quot;-&quot;??\ [$TND]_-;_-@_-"/>
    </dxf>
    <dxf>
      <font>
        <name val="Arial"/>
        <scheme val="none"/>
        <b val="0"/>
        <i val="0"/>
        <strike val="0"/>
        <u val="none"/>
        <sz val="11"/>
        <color theme="1"/>
      </font>
      <numFmt numFmtId="9" formatCode="0%"/>
      <fill>
        <patternFill patternType="solid">
          <bgColor theme="9" tint="0.799920651875362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/>
    </dxf>
    <dxf>
      <font>
        <name val="Arial"/>
        <scheme val="none"/>
        <b val="0"/>
        <i val="0"/>
        <strike val="0"/>
        <u val="none"/>
        <sz val="11"/>
        <color theme="1"/>
      </font>
      <numFmt numFmtId="178" formatCode="#,##0.00\ &quot;€&quot;"/>
      <fill>
        <patternFill patternType="solid">
          <bgColor theme="7" tint="0.799920651875362"/>
        </patternFill>
      </fill>
      <alignment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.00\ [$TND]_-;\-* #,##0.00\ [$TND]_-;_-* &quot;-&quot;??\ [$TND]_-;_-@_-"/>
      <fill>
        <patternFill patternType="solid">
          <bgColor theme="7" tint="0.799920651875362"/>
        </patternFill>
      </fill>
      <alignment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78" formatCode="#,##0.00\ &quot;€&quot;"/>
      <fill>
        <patternFill patternType="solid">
          <bgColor theme="7" tint="0.799920651875362"/>
        </patternFill>
      </fill>
      <alignment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"/>
        <scheme val="none"/>
        <b val="0"/>
        <i val="0"/>
        <strike val="0"/>
        <u val="none"/>
        <sz val="11"/>
        <color theme="1"/>
      </font>
      <numFmt numFmtId="180" formatCode="_-* #,##0.00\ [$TND]_-;\-* #,##0.00\ [$TND]_-;_-* &quot;-&quot;??\ [$TND]_-;_-@_-"/>
      <fill>
        <patternFill patternType="solid">
          <bgColor theme="7" tint="0.799920651875362"/>
        </patternFill>
      </fill>
      <alignment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80" formatCode="_-* #,##0.00\ [$TND]_-;\-* #,##0.00\ [$TND]_-;_-* &quot;-&quot;??\ [$TND]_-;_-@_-"/>
    </dxf>
    <dxf>
      <font>
        <name val="Arial"/>
        <scheme val="none"/>
        <b val="0"/>
        <i val="0"/>
        <strike val="0"/>
        <u val="none"/>
        <sz val="11"/>
        <color theme="1"/>
      </font>
      <numFmt numFmtId="178" formatCode="#,##0.00\ &quot;€&quot;"/>
      <fill>
        <patternFill patternType="solid">
          <bgColor theme="7" tint="0.799920651875362"/>
        </patternFill>
      </fill>
      <alignment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58" formatCode="dd/mm/yyyy"/>
    </dxf>
    <dxf>
      <border>
        <right style="hair">
          <color auto="1"/>
        </right>
      </border>
    </dxf>
    <dxf>
      <numFmt numFmtId="0" formatCode="General"/>
      <border>
        <right style="hair">
          <color auto="1"/>
        </right>
      </border>
    </dxf>
    <dxf>
      <numFmt numFmtId="0" formatCode="General"/>
      <border>
        <left style="hair">
          <color auto="1"/>
        </left>
      </border>
    </dxf>
    <dxf>
      <border>
        <left style="hair">
          <color auto="1"/>
        </left>
      </border>
    </dxf>
  </dxfs>
  <tableStyles count="1" defaultTableStyle="TableStyleMedium2" defaultPivotStyle="PivotStyleLight16">
    <tableStyle name="Style de tableau 1" pivot="0" count="0" xr9:uid="{FFD98C3B-9067-4F8F-B87E-654DD23A4B68}"/>
  </tableStyles>
  <colors>
    <mruColors>
      <color rgb="00800000"/>
      <color rgb="00008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https://sougui.tn/" TargetMode="Externa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hyperlink" Target="https://sougui.tn/" TargetMode="External"/><Relationship Id="rId2" Type="http://schemas.openxmlformats.org/officeDocument/2006/relationships/image" Target="../media/image3.jpeg"/><Relationship Id="rId1" Type="http://schemas.openxmlformats.org/officeDocument/2006/relationships/hyperlink" Target="#'Page d''acceuil'!A1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jpeg"/><Relationship Id="rId3" Type="http://schemas.openxmlformats.org/officeDocument/2006/relationships/hyperlink" Target="https://sougui.tn/" TargetMode="External"/><Relationship Id="rId2" Type="http://schemas.openxmlformats.org/officeDocument/2006/relationships/image" Target="../media/image3.jpeg"/><Relationship Id="rId1" Type="http://schemas.openxmlformats.org/officeDocument/2006/relationships/hyperlink" Target="#'Page d''acceuil'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2839640</xdr:colOff>
      <xdr:row>1</xdr:row>
      <xdr:rowOff>29765</xdr:rowOff>
    </xdr:from>
    <xdr:to>
      <xdr:col>1</xdr:col>
      <xdr:colOff>3724275</xdr:colOff>
      <xdr:row>5</xdr:row>
      <xdr:rowOff>190500</xdr:rowOff>
    </xdr:to>
    <xdr:pic>
      <xdr:nvPicPr>
        <xdr:cNvPr id="7" name="Image 6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35235" y="581660"/>
          <a:ext cx="885190" cy="923290"/>
        </a:xfrm>
        <a:prstGeom prst="rect">
          <a:avLst/>
        </a:prstGeom>
      </xdr:spPr>
    </xdr:pic>
    <xdr:clientData/>
  </xdr:twoCellAnchor>
  <xdr:twoCellAnchor editAs="oneCell">
    <xdr:from>
      <xdr:col>0</xdr:col>
      <xdr:colOff>54769</xdr:colOff>
      <xdr:row>2</xdr:row>
      <xdr:rowOff>103187</xdr:rowOff>
    </xdr:from>
    <xdr:to>
      <xdr:col>0</xdr:col>
      <xdr:colOff>7086600</xdr:colOff>
      <xdr:row>19</xdr:row>
      <xdr:rowOff>19050</xdr:rowOff>
    </xdr:to>
    <xdr:pic>
      <xdr:nvPicPr>
        <xdr:cNvPr id="9" name="Image 8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610" y="845820"/>
          <a:ext cx="7031990" cy="48075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1085850</xdr:colOff>
      <xdr:row>4</xdr:row>
      <xdr:rowOff>85725</xdr:rowOff>
    </xdr:to>
    <xdr:pic>
      <xdr:nvPicPr>
        <xdr:cNvPr id="3" name="Image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1038225" cy="1038225"/>
        </a:xfrm>
        <a:prstGeom prst="rect">
          <a:avLst/>
        </a:prstGeom>
      </xdr:spPr>
    </xdr:pic>
    <xdr:clientData/>
  </xdr:twoCellAnchor>
  <xdr:twoCellAnchor editAs="oneCell">
    <xdr:from>
      <xdr:col>6</xdr:col>
      <xdr:colOff>373857</xdr:colOff>
      <xdr:row>0</xdr:row>
      <xdr:rowOff>0</xdr:rowOff>
    </xdr:from>
    <xdr:to>
      <xdr:col>7</xdr:col>
      <xdr:colOff>198120</xdr:colOff>
      <xdr:row>5</xdr:row>
      <xdr:rowOff>7143</xdr:rowOff>
    </xdr:to>
    <xdr:pic>
      <xdr:nvPicPr>
        <xdr:cNvPr id="8" name="Image 7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155430" y="0"/>
          <a:ext cx="1072515" cy="1149985"/>
        </a:xfrm>
        <a:prstGeom prst="rect">
          <a:avLst/>
        </a:prstGeom>
      </xdr:spPr>
    </xdr:pic>
    <xdr:clientData/>
  </xdr:twoCellAnchor>
  <xdr:twoCellAnchor editAs="absolute">
    <xdr:from>
      <xdr:col>0</xdr:col>
      <xdr:colOff>190499</xdr:colOff>
      <xdr:row>4</xdr:row>
      <xdr:rowOff>1</xdr:rowOff>
    </xdr:from>
    <xdr:to>
      <xdr:col>0</xdr:col>
      <xdr:colOff>1724024</xdr:colOff>
      <xdr:row>14</xdr:row>
      <xdr:rowOff>95250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1" name="Société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ciété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865" y="952500"/>
              <a:ext cx="1533525" cy="297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Cette forme représente un segment.
Les segments ne peuvent pas être utilisés dans cette version. Mettez à jour vers la dernière version de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1085850</xdr:colOff>
      <xdr:row>5</xdr:row>
      <xdr:rowOff>38100</xdr:rowOff>
    </xdr:to>
    <xdr:pic>
      <xdr:nvPicPr>
        <xdr:cNvPr id="2" name="Image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1038225" cy="1038225"/>
        </a:xfrm>
        <a:prstGeom prst="rect">
          <a:avLst/>
        </a:prstGeom>
      </xdr:spPr>
    </xdr:pic>
    <xdr:clientData/>
  </xdr:twoCellAnchor>
  <xdr:twoCellAnchor editAs="oneCell">
    <xdr:from>
      <xdr:col>6</xdr:col>
      <xdr:colOff>373857</xdr:colOff>
      <xdr:row>0</xdr:row>
      <xdr:rowOff>0</xdr:rowOff>
    </xdr:from>
    <xdr:to>
      <xdr:col>7</xdr:col>
      <xdr:colOff>533399</xdr:colOff>
      <xdr:row>4</xdr:row>
      <xdr:rowOff>35718</xdr:rowOff>
    </xdr:to>
    <xdr:pic>
      <xdr:nvPicPr>
        <xdr:cNvPr id="3" name="Image 7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84055" y="0"/>
          <a:ext cx="788035" cy="845185"/>
        </a:xfrm>
        <a:prstGeom prst="rect">
          <a:avLst/>
        </a:prstGeom>
      </xdr:spPr>
    </xdr:pic>
    <xdr:clientData/>
  </xdr:twoCellAnchor>
  <xdr:twoCellAnchor editAs="absolute">
    <xdr:from>
      <xdr:col>0</xdr:col>
      <xdr:colOff>104775</xdr:colOff>
      <xdr:row>5</xdr:row>
      <xdr:rowOff>19051</xdr:rowOff>
    </xdr:from>
    <xdr:to>
      <xdr:col>0</xdr:col>
      <xdr:colOff>1800225</xdr:colOff>
      <xdr:row>17</xdr:row>
      <xdr:rowOff>85725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4" name="Société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ciété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1019175"/>
              <a:ext cx="1695450" cy="283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Cette forme représente un segment.
Les segments ne peuvent pas être utilisés dans cette version. Mettez à jour vers la dernière version de WPS Office.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ociété" sourceName="Société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ociété1" sourceName="Société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ociété" cache="Segment_Société" caption="Société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ociété 1" cache="Segment_Société1" caption="Société" startItem="32" rowHeight="241300"/>
</slicers>
</file>

<file path=xl/tables/table1.xml><?xml version="1.0" encoding="utf-8"?>
<table xmlns="http://schemas.openxmlformats.org/spreadsheetml/2006/main" id="2" name="Tableau2" displayName="Tableau2" ref="B6:W43" totalsRowCount="1">
  <autoFilter xmlns:etc="http://www.wps.cn/officeDocument/2017/etCustomData" ref="B6:W42" etc:filterBottomFollowUsedRange="0"/>
  <sortState ref="B6:W42">
    <sortCondition ref="E6:E42"/>
  </sortState>
  <tableColumns count="22">
    <tableColumn id="1" name="Société" dataDxfId="0"/>
    <tableColumn id="19" name="Nom du client " dataDxfId="1"/>
    <tableColumn id="2" name="N°Facture " dataDxfId="2"/>
    <tableColumn id="3" name="Date de facture"/>
    <tableColumn id="4" name="Montant HT" dataDxfId="3" totalsRowFunction="sum"/>
    <tableColumn id="5" name="Taux de TVA"/>
    <tableColumn id="10" name="Timbre" dataDxfId="4"/>
    <tableColumn id="20" name="Montant de la TVA" dataDxfId="5" totalsRowFunction="sum"/>
    <tableColumn id="6" name="Montant TTC" dataDxfId="6" totalsRowFunction="sum"/>
    <tableColumn id="15" name="Retenue à la source" dataDxfId="7">
      <calculatedColumnFormula>IF(Tableau2[[#This Row],[Montant TTC]]=""," ",Tableau2[[#This Row],[Montant TTC]]*0.01)</calculatedColumnFormula>
    </tableColumn>
    <tableColumn id="21" name="Versements effectués par le client" totalsRowFunction="sum"/>
    <tableColumn id="22" name="Reste dû" dataDxfId="8" totalsRowFunction="sum"/>
    <tableColumn id="27" name="Action à effectuer ">
      <calculatedColumnFormula>IF(Tableau2[[#This Row],[Versements effectués par le client]]="","",IF(M7=0,"Payé","Pas encore payé"))</calculatedColumnFormula>
    </tableColumn>
    <tableColumn id="7" name="Délai de paiement accordé au client " totalsRowFunction="custom">
      <totalsRowFormula>AVERAGE(Tableau2[Délai de paiement accordé au client ])</totalsRowFormula>
    </tableColumn>
    <tableColumn id="14" name="Date d'échéance">
      <calculatedColumnFormula>IF(Tableau2[[#This Row],[Date de facture]]="","",Tableau2[[#This Row],[Date de facture]]+Tableau2[[#This Row],[Délai de paiement accordé au client ]])</calculatedColumnFormula>
    </tableColumn>
    <tableColumn id="8" name="Date de paiement total de la facture "/>
    <tableColumn id="9" name="Retard de paiement (en jours) " totalsRowFunction="custom">
      <calculatedColumnFormula>IF(ISBLANK(Tableau2[[#This Row],[Date de facture]]),0,IF(ISBLANK(Tableau2[[#This Row],[Date de paiement total de la facture ]]),$C$4-(Tableau2[[#This Row],[Date de facture]]+Tableau2[[#This Row],[Délai de paiement accordé au client ]]),""))</calculatedColumnFormula>
      <totalsRowFormula>AVERAGE(Tableau2[Retard de paiement (en jours) ])</totalsRowFormula>
    </tableColumn>
    <tableColumn id="17" name="mode de règlement "/>
    <tableColumn id="11" name="Date de la première relance "/>
    <tableColumn id="12" name="Date de la deuxième relance"/>
    <tableColumn id="16" name="Pénalité et majoration de paiement "/>
    <tableColumn id="13" name="Commentaire 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1" name="Tableau22" displayName="Tableau22" ref="B6:U89" totalsRowCount="1">
  <autoFilter xmlns:etc="http://www.wps.cn/officeDocument/2017/etCustomData" ref="B6:U88" etc:filterBottomFollowUsedRange="0"/>
  <sortState ref="B6:U88">
    <sortCondition ref="E6:E36"/>
  </sortState>
  <tableColumns count="20">
    <tableColumn id="1" name="Société" dataDxfId="11"/>
    <tableColumn id="19" name="Nom du Fournisseur " dataDxfId="12"/>
    <tableColumn id="2" name="N°Facture " dataDxfId="13"/>
    <tableColumn id="3" name="Date de facture" dataDxfId="14"/>
    <tableColumn id="4" name="Montant HT" dataDxfId="15" totalsRowFunction="sum"/>
    <tableColumn id="5" name="Taux de TVA"/>
    <tableColumn id="7" name="Timbre" dataDxfId="16"/>
    <tableColumn id="20" name="Montant de la TVA" dataDxfId="17" totalsRowFunction="sum">
      <calculatedColumnFormula>IF(Tableau22[[#This Row],[Montant HT]]="","",IF(Tableau22[[#This Row],[Montant HT]]&gt;0,Tableau22[[#This Row],[Montant TTC]]-Tableau22[[#This Row],[Montant HT]]))</calculatedColumnFormula>
    </tableColumn>
    <tableColumn id="9" name="FODEC" dataDxfId="18">
      <calculatedColumnFormula>Tableau22[[#This Row],[Montant HT]]*0.01</calculatedColumnFormula>
    </tableColumn>
    <tableColumn id="6" name="Montant TTC" dataDxfId="19" totalsRowFunction="sum">
      <calculatedColumnFormula>IF(Tableau22[[#This Row],[Montant HT]]="","",IF(Tableau22[[#This Row],[Montant HT]]&gt;0,Tableau22[[#This Row],[Montant HT]]+Tableau22[[#This Row],[Timbre]]+(Tableau22[[#This Row],[Montant HT]]*Tableau22[[#This Row],[Taux de TVA]])))</calculatedColumnFormula>
    </tableColumn>
    <tableColumn id="15" name="Retenue " dataDxfId="20">
      <calculatedColumnFormula>(Tableau22[[#This Row],[Montant HT]]+Tableau22[[#This Row],[Montant de la TVA]])*0.01</calculatedColumnFormula>
    </tableColumn>
    <tableColumn id="21" name="Versements effectués par SOUGUI" dataDxfId="21" totalsRowFunction="sum"/>
    <tableColumn id="22" name="Reste dû" dataDxfId="22" totalsRowFunction="sum">
      <calculatedColumnFormula>IF(ISERROR(Tableau22[[#This Row],[Montant TTC]]-Tableau22[[#This Row],[Versements effectués par SOUGUI]]),"",Tableau22[[#This Row],[Montant TTC]]-Tableau22[[#This Row],[Versements effectués par SOUGUI]])</calculatedColumnFormula>
    </tableColumn>
    <tableColumn id="27" name="Action à effectuer ">
      <calculatedColumnFormula>IF(Tableau22[[#This Row],[Reste dû]]&gt;0,IF(#REF!&gt;0,"Relancer",""),"")</calculatedColumnFormula>
    </tableColumn>
    <tableColumn id="8" name="Date de paiement total de la facture " dataDxfId="23"/>
    <tableColumn id="17" name="mode de règlement " dataDxfId="24"/>
    <tableColumn id="11" name="Date de la première relance " dataDxfId="25"/>
    <tableColumn id="12" name="Date de la deuxième relance" dataDxfId="26"/>
    <tableColumn id="16" name="Pénalité et majoration de paiement " dataDxfId="27"/>
    <tableColumn id="13" name="Commentaire 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ntact@sougui.tn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1"/>
  <dimension ref="A1:C19"/>
  <sheetViews>
    <sheetView zoomScale="80" zoomScaleNormal="80" workbookViewId="0">
      <selection activeCell="A27" sqref="A27"/>
    </sheetView>
  </sheetViews>
  <sheetFormatPr defaultColWidth="11.4285714285714" defaultRowHeight="15" outlineLevelCol="2"/>
  <cols>
    <col min="1" max="1" width="109.428571428571" style="75" customWidth="1"/>
    <col min="2" max="2" width="58.4285714285714" style="75" customWidth="1"/>
    <col min="3" max="3" width="59.8571428571429" style="75" customWidth="1"/>
    <col min="4" max="16384" width="11.4285714285714" style="75"/>
  </cols>
  <sheetData>
    <row r="1" s="74" customFormat="1" ht="43.5" customHeight="1" spans="1:2">
      <c r="A1" s="76" t="s">
        <v>0</v>
      </c>
      <c r="B1" s="77">
        <f ca="1">TODAY()</f>
        <v>46082</v>
      </c>
    </row>
    <row r="2" spans="1:1">
      <c r="A2" s="78"/>
    </row>
    <row r="3" spans="1:1">
      <c r="A3" s="79"/>
    </row>
    <row r="6" ht="18" spans="2:2">
      <c r="B6" s="80"/>
    </row>
    <row r="7" ht="23.25" spans="2:3">
      <c r="B7" s="81" t="s">
        <v>1</v>
      </c>
      <c r="C7" s="82" t="s">
        <v>2</v>
      </c>
    </row>
    <row r="8" ht="40.5" spans="2:3">
      <c r="B8" s="81" t="s">
        <v>3</v>
      </c>
      <c r="C8" s="83" t="s">
        <v>4</v>
      </c>
    </row>
    <row r="9" ht="23.25" spans="2:3">
      <c r="B9" s="81" t="s">
        <v>5</v>
      </c>
      <c r="C9" s="84" t="s">
        <v>6</v>
      </c>
    </row>
    <row r="10" ht="23.25" spans="2:3">
      <c r="B10" s="81" t="s">
        <v>7</v>
      </c>
      <c r="C10" s="82" t="s">
        <v>8</v>
      </c>
    </row>
    <row r="11" ht="23.25" spans="2:3">
      <c r="B11" s="81" t="s">
        <v>9</v>
      </c>
      <c r="C11" s="82" t="s">
        <v>10</v>
      </c>
    </row>
    <row r="12" ht="25.9" customHeight="1" spans="2:3">
      <c r="B12" s="81" t="s">
        <v>11</v>
      </c>
      <c r="C12" s="85" t="s">
        <v>12</v>
      </c>
    </row>
    <row r="13" ht="23.25" spans="2:3">
      <c r="B13" s="81" t="s">
        <v>13</v>
      </c>
      <c r="C13" s="82" t="s">
        <v>14</v>
      </c>
    </row>
    <row r="14" ht="23.25" spans="2:3">
      <c r="B14" s="81"/>
      <c r="C14" s="82"/>
    </row>
    <row r="15" ht="23.25" spans="2:3">
      <c r="B15" s="81"/>
      <c r="C15" s="86"/>
    </row>
    <row r="16" ht="23.25" spans="2:3">
      <c r="B16" s="81"/>
      <c r="C16" s="82"/>
    </row>
    <row r="17" ht="23.25" spans="2:3">
      <c r="B17" s="81"/>
      <c r="C17" s="82"/>
    </row>
    <row r="18" ht="23.25" spans="2:3">
      <c r="B18" s="81"/>
      <c r="C18" s="82"/>
    </row>
    <row r="19" ht="23.25" spans="2:3">
      <c r="B19" s="81"/>
      <c r="C19" s="82"/>
    </row>
  </sheetData>
  <hyperlinks>
    <hyperlink ref="C9" r:id="rId2" display="contact@sougui.tn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2">
    <pageSetUpPr fitToPage="1"/>
  </sheetPr>
  <dimension ref="A3:X44"/>
  <sheetViews>
    <sheetView tabSelected="1" zoomScale="80" zoomScaleNormal="80" topLeftCell="A6" workbookViewId="0">
      <selection activeCell="D14" sqref="D7:D14"/>
    </sheetView>
  </sheetViews>
  <sheetFormatPr defaultColWidth="11.4285714285714" defaultRowHeight="18.75"/>
  <cols>
    <col min="1" max="1" width="29.2857142857143" style="2" customWidth="1"/>
    <col min="2" max="3" width="25.2857142857143" style="2" customWidth="1"/>
    <col min="4" max="4" width="13.8571428571429" style="2" customWidth="1"/>
    <col min="5" max="5" width="18.5714285714286" style="2" customWidth="1"/>
    <col min="6" max="6" width="19.4285714285714" style="2" customWidth="1"/>
    <col min="7" max="7" width="18.7142857142857" style="2" customWidth="1"/>
    <col min="8" max="8" width="9.42857142857143" style="2" customWidth="1"/>
    <col min="9" max="9" width="26.4285714285714" style="4" customWidth="1"/>
    <col min="10" max="10" width="22.5714285714286" style="4" customWidth="1"/>
    <col min="11" max="11" width="25.7142857142857" style="4" customWidth="1"/>
    <col min="12" max="12" width="44.2857142857143" style="2" customWidth="1"/>
    <col min="13" max="13" width="19.7142857142857" style="4" customWidth="1"/>
    <col min="14" max="14" width="26.4285714285714" style="2" customWidth="1"/>
    <col min="15" max="15" width="26.4285714285714" style="58" hidden="1" customWidth="1"/>
    <col min="16" max="16" width="26.4285714285714" style="2" hidden="1" customWidth="1"/>
    <col min="17" max="17" width="22.5714285714286" style="2" hidden="1" customWidth="1"/>
    <col min="18" max="18" width="25.1428571428571" style="6" hidden="1" customWidth="1"/>
    <col min="19" max="19" width="23.8571428571429" style="2" customWidth="1"/>
    <col min="20" max="20" width="17.4285714285714" style="2" hidden="1" customWidth="1"/>
    <col min="21" max="22" width="17.1428571428571" style="2" hidden="1" customWidth="1"/>
    <col min="23" max="23" width="82" style="2" customWidth="1"/>
    <col min="24" max="16384" width="11.4285714285714" style="2"/>
  </cols>
  <sheetData>
    <row r="3" spans="1:1">
      <c r="A3" s="5"/>
    </row>
    <row r="4" spans="1:3">
      <c r="A4" s="5"/>
      <c r="B4" s="6" t="s">
        <v>15</v>
      </c>
      <c r="C4" s="7">
        <f ca="1">TODAY()</f>
        <v>46082</v>
      </c>
    </row>
    <row r="5" ht="15" customHeight="1" spans="1:1">
      <c r="A5" s="5"/>
    </row>
    <row r="6" ht="49.5" customHeight="1" spans="1:24">
      <c r="A6" s="5"/>
      <c r="B6" s="8" t="s">
        <v>16</v>
      </c>
      <c r="C6" s="8" t="s">
        <v>17</v>
      </c>
      <c r="D6" s="8" t="s">
        <v>18</v>
      </c>
      <c r="E6" s="8" t="s">
        <v>19</v>
      </c>
      <c r="F6" s="8" t="s">
        <v>20</v>
      </c>
      <c r="G6" s="8" t="s">
        <v>21</v>
      </c>
      <c r="H6" s="8" t="s">
        <v>22</v>
      </c>
      <c r="I6" s="20" t="s">
        <v>23</v>
      </c>
      <c r="J6" s="20" t="s">
        <v>24</v>
      </c>
      <c r="K6" s="20" t="s">
        <v>25</v>
      </c>
      <c r="L6" s="8" t="s">
        <v>26</v>
      </c>
      <c r="M6" s="20" t="s">
        <v>27</v>
      </c>
      <c r="N6" s="8" t="s">
        <v>28</v>
      </c>
      <c r="O6" s="8" t="s">
        <v>29</v>
      </c>
      <c r="P6" s="8" t="s">
        <v>30</v>
      </c>
      <c r="Q6" s="8" t="s">
        <v>31</v>
      </c>
      <c r="R6" s="8" t="s">
        <v>32</v>
      </c>
      <c r="S6" s="8" t="s">
        <v>33</v>
      </c>
      <c r="T6" s="8" t="s">
        <v>34</v>
      </c>
      <c r="U6" s="8" t="s">
        <v>35</v>
      </c>
      <c r="V6" s="8" t="s">
        <v>36</v>
      </c>
      <c r="W6" s="8" t="s">
        <v>37</v>
      </c>
      <c r="X6" s="34"/>
    </row>
    <row r="7" ht="20.25" spans="1:23">
      <c r="A7" s="10"/>
      <c r="B7" s="11" t="s">
        <v>38</v>
      </c>
      <c r="C7" s="11" t="s">
        <v>38</v>
      </c>
      <c r="D7" s="11">
        <v>11775</v>
      </c>
      <c r="E7" s="59">
        <v>45149</v>
      </c>
      <c r="F7" s="60">
        <v>6050.42</v>
      </c>
      <c r="G7" s="14">
        <v>0.19</v>
      </c>
      <c r="H7" s="14"/>
      <c r="I7" s="21">
        <f>IF(Tableau2[[#This Row],[Montant HT]]="","",IF(Tableau2[[#This Row],[Montant HT]]&gt;0,Tableau2[[#This Row],[Montant TTC]]-Tableau2[[#This Row],[Montant HT]]))</f>
        <v>1149.5798</v>
      </c>
      <c r="J7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7199.9998</v>
      </c>
      <c r="K7" s="21">
        <f>Tableau2[[#This Row],[Montant TTC]]*0.01</f>
        <v>71.999998</v>
      </c>
      <c r="L7" s="25">
        <v>7199.9998</v>
      </c>
      <c r="M7" s="21">
        <f>IF(ISERROR(Tableau2[[#This Row],[Montant TTC]]-Tableau2[[#This Row],[Versements effectués par le client]]),"",Tableau2[[#This Row],[Montant TTC]]-Tableau2[[#This Row],[Versements effectués par le client]])</f>
        <v>0</v>
      </c>
      <c r="N7" s="23" t="str">
        <f t="shared" ref="N7:N22" si="0">IF(M7=0,"Payé","Pas encore payé")</f>
        <v>Payé</v>
      </c>
      <c r="O7" s="11"/>
      <c r="P7" s="65">
        <f>IF(Tableau2[[#This Row],[Date de facture]]="","",Tableau2[[#This Row],[Date de facture]]+Tableau2[[#This Row],[Délai de paiement accordé au client ]])</f>
        <v>45149</v>
      </c>
      <c r="Q7" s="12"/>
      <c r="R7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933</v>
      </c>
      <c r="S7" s="15" t="s">
        <v>39</v>
      </c>
      <c r="T7" s="15"/>
      <c r="U7" s="15"/>
      <c r="V7" s="15"/>
      <c r="W7" s="15" t="s">
        <v>40</v>
      </c>
    </row>
    <row r="8" ht="20.25" spans="1:23">
      <c r="A8" s="10"/>
      <c r="B8" s="11" t="s">
        <v>41</v>
      </c>
      <c r="C8" s="11" t="s">
        <v>42</v>
      </c>
      <c r="D8" s="11" t="s">
        <v>43</v>
      </c>
      <c r="E8" s="59">
        <v>45279</v>
      </c>
      <c r="F8" s="60">
        <v>5100</v>
      </c>
      <c r="G8" s="14">
        <v>0.19</v>
      </c>
      <c r="H8" s="14"/>
      <c r="I8" s="21">
        <f>IF(Tableau2[[#This Row],[Montant HT]]="","",IF(Tableau2[[#This Row],[Montant HT]]&gt;0,Tableau2[[#This Row],[Montant TTC]]-Tableau2[[#This Row],[Montant HT]]))</f>
        <v>969</v>
      </c>
      <c r="J8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6069</v>
      </c>
      <c r="K8" s="21">
        <f>Tableau2[[#This Row],[Montant TTC]]*0.01</f>
        <v>60.69</v>
      </c>
      <c r="L8" s="25">
        <v>6008.31</v>
      </c>
      <c r="M8" s="21">
        <f>IF(ISERROR(Tableau2[[#This Row],[Montant TTC]]-Tableau2[[#This Row],[Versements effectués par le client]]),"",Tableau2[[#This Row],[Montant TTC]]-Tableau2[[#This Row],[Versements effectués par le client]])</f>
        <v>60.6899999999996</v>
      </c>
      <c r="N8" s="23" t="str">
        <f t="shared" si="0"/>
        <v>Pas encore payé</v>
      </c>
      <c r="O8" s="11">
        <v>20</v>
      </c>
      <c r="P8" s="65">
        <f>IF(Tableau2[[#This Row],[Date de facture]]="","",Tableau2[[#This Row],[Date de facture]]+Tableau2[[#This Row],[Délai de paiement accordé au client ]])</f>
        <v>45299</v>
      </c>
      <c r="Q8" s="12"/>
      <c r="R8" s="70">
        <f ca="1">IF(IF(ISBLANK(Tableau2[[#This Row],[Date de facture]]),0,IF(ISBLANK(Tableau2[[#This Row],[Date de paiement total de la facture ]]),$C$4-(Tableau2[[#This Row],[Date de facture]]+Tableau2[[#This Row],[Délai de paiement accordé au client ]]),""))=0,"",IF(ISBLANK(Tableau2[[#This Row],[Date de facture]]),0,IF(ISBLANK(Tableau2[[#This Row],[Date de paiement total de la facture ]]),$C$4-(Tableau2[[#This Row],[Date de facture]]+Tableau2[[#This Row],[Délai de paiement accordé au client ]]),"")))</f>
        <v>783</v>
      </c>
      <c r="S8" s="15" t="s">
        <v>39</v>
      </c>
      <c r="T8" s="12"/>
      <c r="U8" s="15"/>
      <c r="V8" s="15"/>
      <c r="W8" s="15" t="s">
        <v>44</v>
      </c>
    </row>
    <row r="9" ht="20.25" spans="1:23">
      <c r="A9" s="10"/>
      <c r="B9" s="11" t="s">
        <v>45</v>
      </c>
      <c r="C9" s="11" t="s">
        <v>45</v>
      </c>
      <c r="D9" s="11" t="s">
        <v>46</v>
      </c>
      <c r="E9" s="59">
        <v>45282</v>
      </c>
      <c r="F9" s="60">
        <v>7470</v>
      </c>
      <c r="G9" s="14">
        <v>0.19</v>
      </c>
      <c r="H9" s="14"/>
      <c r="I9" s="21">
        <f>IF(Tableau2[[#This Row],[Montant HT]]="","",IF(Tableau2[[#This Row],[Montant HT]]&gt;0,Tableau2[[#This Row],[Montant TTC]]-Tableau2[[#This Row],[Montant HT]]))</f>
        <v>1419.3</v>
      </c>
      <c r="J9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8889.3</v>
      </c>
      <c r="K9" s="21">
        <f>Tableau2[[#This Row],[Montant TTC]]*0.01</f>
        <v>88.893</v>
      </c>
      <c r="L9" s="25">
        <v>8889.3</v>
      </c>
      <c r="M9" s="21">
        <f>IF(ISERROR(Tableau2[[#This Row],[Montant TTC]]-Tableau2[[#This Row],[Versements effectués par le client]]),"",Tableau2[[#This Row],[Montant TTC]]-Tableau2[[#This Row],[Versements effectués par le client]])</f>
        <v>0</v>
      </c>
      <c r="N9" s="23" t="str">
        <f t="shared" si="0"/>
        <v>Payé</v>
      </c>
      <c r="O9" s="11">
        <v>20</v>
      </c>
      <c r="P9" s="65">
        <f>IF(Tableau2[[#This Row],[Date de facture]]="","",Tableau2[[#This Row],[Date de facture]]+Tableau2[[#This Row],[Délai de paiement accordé au client ]])</f>
        <v>45302</v>
      </c>
      <c r="Q9" s="12"/>
      <c r="R9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780</v>
      </c>
      <c r="S9" s="15" t="s">
        <v>47</v>
      </c>
      <c r="T9" s="15"/>
      <c r="U9" s="15"/>
      <c r="V9" s="15"/>
      <c r="W9" s="15" t="s">
        <v>48</v>
      </c>
    </row>
    <row r="10" ht="20.25" spans="1:23">
      <c r="A10" s="10"/>
      <c r="B10" s="11" t="s">
        <v>49</v>
      </c>
      <c r="C10" s="11" t="s">
        <v>49</v>
      </c>
      <c r="D10" s="11" t="s">
        <v>50</v>
      </c>
      <c r="E10" s="12">
        <v>45283</v>
      </c>
      <c r="F10" s="60">
        <v>693</v>
      </c>
      <c r="G10" s="14">
        <v>0.19</v>
      </c>
      <c r="H10" s="14"/>
      <c r="I10" s="21">
        <f>IF(Tableau2[[#This Row],[Montant HT]]="","",IF(Tableau2[[#This Row],[Montant HT]]&gt;0,Tableau2[[#This Row],[Montant TTC]]-Tableau2[[#This Row],[Montant HT]]))</f>
        <v>131.67</v>
      </c>
      <c r="J10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824.67</v>
      </c>
      <c r="K10" s="21">
        <f>Tableau2[[#This Row],[Montant TTC]]*0.01</f>
        <v>8.2467</v>
      </c>
      <c r="L10" s="25">
        <v>824.67</v>
      </c>
      <c r="M10" s="21">
        <f>IF(ISERROR(Tableau2[[#This Row],[Montant TTC]]-Tableau2[[#This Row],[Versements effectués par le client]]),"",Tableau2[[#This Row],[Montant TTC]]-Tableau2[[#This Row],[Versements effectués par le client]])</f>
        <v>0</v>
      </c>
      <c r="N10" s="23" t="str">
        <f t="shared" si="0"/>
        <v>Payé</v>
      </c>
      <c r="O10" s="11"/>
      <c r="P10" s="65">
        <f>IF(Tableau2[[#This Row],[Date de facture]]="","",Tableau2[[#This Row],[Date de facture]]+Tableau2[[#This Row],[Délai de paiement accordé au client ]])</f>
        <v>45283</v>
      </c>
      <c r="Q10" s="12"/>
      <c r="R10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799</v>
      </c>
      <c r="S10" s="15" t="s">
        <v>39</v>
      </c>
      <c r="T10" s="15"/>
      <c r="U10" s="15"/>
      <c r="V10" s="15"/>
      <c r="W10" s="15" t="s">
        <v>51</v>
      </c>
    </row>
    <row r="11" ht="20.25" spans="1:23">
      <c r="A11" s="10" t="s">
        <v>52</v>
      </c>
      <c r="B11" s="11" t="s">
        <v>53</v>
      </c>
      <c r="C11" s="11" t="s">
        <v>53</v>
      </c>
      <c r="D11" s="11" t="s">
        <v>54</v>
      </c>
      <c r="E11" s="59">
        <v>45286</v>
      </c>
      <c r="F11" s="60">
        <v>5460</v>
      </c>
      <c r="G11" s="14">
        <v>0.19</v>
      </c>
      <c r="H11" s="14"/>
      <c r="I11" s="21">
        <f>IF(Tableau2[[#This Row],[Montant HT]]="","",IF(Tableau2[[#This Row],[Montant HT]]&gt;0,Tableau2[[#This Row],[Montant TTC]]-Tableau2[[#This Row],[Montant HT]]))</f>
        <v>1037.4</v>
      </c>
      <c r="J11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6497.4</v>
      </c>
      <c r="K11" s="21">
        <f>Tableau2[[#This Row],[Montant TTC]]*0.01</f>
        <v>64.974</v>
      </c>
      <c r="L11" s="25">
        <v>6432.426</v>
      </c>
      <c r="M11" s="21">
        <f>IF(ISERROR(Tableau2[[#This Row],[Montant TTC]]-Tableau2[[#This Row],[Versements effectués par le client]]),"",Tableau2[[#This Row],[Montant TTC]]-Tableau2[[#This Row],[Versements effectués par le client]])</f>
        <v>64.9739999999993</v>
      </c>
      <c r="N11" s="23" t="str">
        <f t="shared" si="0"/>
        <v>Pas encore payé</v>
      </c>
      <c r="O11" s="11"/>
      <c r="P11" s="65">
        <f>IF(Tableau2[[#This Row],[Date de facture]]="","",Tableau2[[#This Row],[Date de facture]]+Tableau2[[#This Row],[Délai de paiement accordé au client ]])</f>
        <v>45286</v>
      </c>
      <c r="Q11" s="12"/>
      <c r="R11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796</v>
      </c>
      <c r="S11" s="15" t="s">
        <v>39</v>
      </c>
      <c r="T11" s="15"/>
      <c r="U11" s="15"/>
      <c r="V11" s="15"/>
      <c r="W11" s="15" t="s">
        <v>55</v>
      </c>
    </row>
    <row r="12" ht="20.25" spans="1:23">
      <c r="A12" s="5"/>
      <c r="B12" s="11" t="s">
        <v>56</v>
      </c>
      <c r="C12" s="11" t="s">
        <v>56</v>
      </c>
      <c r="D12" s="11" t="s">
        <v>57</v>
      </c>
      <c r="E12" s="59">
        <v>45288</v>
      </c>
      <c r="F12" s="60">
        <v>800</v>
      </c>
      <c r="G12" s="14">
        <v>0.19</v>
      </c>
      <c r="H12" s="14"/>
      <c r="I12" s="21">
        <f>IF(Tableau2[[#This Row],[Montant HT]]="","",IF(Tableau2[[#This Row],[Montant HT]]&gt;0,Tableau2[[#This Row],[Montant TTC]]-Tableau2[[#This Row],[Montant HT]]))</f>
        <v>152</v>
      </c>
      <c r="J12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952</v>
      </c>
      <c r="K12" s="21">
        <f>Tableau2[[#This Row],[Montant TTC]]*0.01</f>
        <v>9.52</v>
      </c>
      <c r="L12" s="25">
        <v>952</v>
      </c>
      <c r="M12" s="21">
        <f>IF(ISERROR(Tableau2[[#This Row],[Montant TTC]]-Tableau2[[#This Row],[Versements effectués par le client]]),"",Tableau2[[#This Row],[Montant TTC]]-Tableau2[[#This Row],[Versements effectués par le client]])</f>
        <v>0</v>
      </c>
      <c r="N12" s="23" t="str">
        <f t="shared" si="0"/>
        <v>Payé</v>
      </c>
      <c r="O12" s="11"/>
      <c r="P12" s="65">
        <f>IF(Tableau2[[#This Row],[Date de facture]]="","",Tableau2[[#This Row],[Date de facture]]+Tableau2[[#This Row],[Délai de paiement accordé au client ]])</f>
        <v>45288</v>
      </c>
      <c r="Q12" s="12"/>
      <c r="R12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794</v>
      </c>
      <c r="S12" s="15" t="s">
        <v>47</v>
      </c>
      <c r="T12" s="15"/>
      <c r="U12" s="15"/>
      <c r="V12" s="15"/>
      <c r="W12" s="15" t="s">
        <v>58</v>
      </c>
    </row>
    <row r="13" ht="20.25" spans="1:23">
      <c r="A13" s="5"/>
      <c r="B13" s="11" t="s">
        <v>38</v>
      </c>
      <c r="C13" s="11" t="s">
        <v>38</v>
      </c>
      <c r="D13" s="11" t="s">
        <v>59</v>
      </c>
      <c r="E13" s="59">
        <v>45316</v>
      </c>
      <c r="F13" s="60">
        <v>1700</v>
      </c>
      <c r="G13" s="14">
        <v>0.19</v>
      </c>
      <c r="H13" s="15">
        <v>1</v>
      </c>
      <c r="I13" s="21">
        <f>IF(Tableau2[[#This Row],[Montant HT]]="","",IF(Tableau2[[#This Row],[Montant HT]]&gt;0,Tableau2[[#This Row],[Montant TTC]]-Tableau2[[#This Row],[Montant HT]]))</f>
        <v>324</v>
      </c>
      <c r="J13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2024</v>
      </c>
      <c r="K13" s="21">
        <f>Tableau2[[#This Row],[Montant TTC]]*0.01</f>
        <v>20.24</v>
      </c>
      <c r="L13" s="25">
        <v>0</v>
      </c>
      <c r="M13" s="21">
        <f>IF(ISERROR(Tableau2[[#This Row],[Montant TTC]]-Tableau2[[#This Row],[Versements effectués par le client]]),"",Tableau2[[#This Row],[Montant TTC]]-Tableau2[[#This Row],[Versements effectués par le client]])</f>
        <v>2024</v>
      </c>
      <c r="N13" s="23" t="str">
        <f t="shared" si="0"/>
        <v>Pas encore payé</v>
      </c>
      <c r="O13" s="11"/>
      <c r="P13" s="65">
        <f>IF(Tableau2[[#This Row],[Date de facture]]="","",Tableau2[[#This Row],[Date de facture]]+Tableau2[[#This Row],[Délai de paiement accordé au client ]])</f>
        <v>45316</v>
      </c>
      <c r="Q13" s="12"/>
      <c r="R13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766</v>
      </c>
      <c r="S13" s="15"/>
      <c r="T13" s="15"/>
      <c r="U13" s="15"/>
      <c r="V13" s="15"/>
      <c r="W13" s="15" t="s">
        <v>60</v>
      </c>
    </row>
    <row r="14" ht="20.25" spans="1:23">
      <c r="A14" s="5"/>
      <c r="B14" s="11" t="s">
        <v>56</v>
      </c>
      <c r="C14" s="11" t="s">
        <v>56</v>
      </c>
      <c r="D14" s="11" t="s">
        <v>61</v>
      </c>
      <c r="E14" s="59">
        <v>45322</v>
      </c>
      <c r="F14" s="60">
        <v>751</v>
      </c>
      <c r="G14" s="14">
        <v>0.19</v>
      </c>
      <c r="H14" s="14"/>
      <c r="I14" s="21">
        <f>IF(Tableau2[[#This Row],[Montant HT]]="","",IF(Tableau2[[#This Row],[Montant HT]]&gt;0,Tableau2[[#This Row],[Montant TTC]]-Tableau2[[#This Row],[Montant HT]]))</f>
        <v>142.69</v>
      </c>
      <c r="J14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893.69</v>
      </c>
      <c r="K14" s="21">
        <f>Tableau2[[#This Row],[Montant TTC]]*0.01</f>
        <v>8.9369</v>
      </c>
      <c r="L14" s="25">
        <v>893.69</v>
      </c>
      <c r="M14" s="21">
        <f>IF(ISERROR(Tableau2[[#This Row],[Montant TTC]]-Tableau2[[#This Row],[Versements effectués par le client]]),"",Tableau2[[#This Row],[Montant TTC]]-Tableau2[[#This Row],[Versements effectués par le client]])</f>
        <v>0</v>
      </c>
      <c r="N14" s="23" t="str">
        <f t="shared" si="0"/>
        <v>Payé</v>
      </c>
      <c r="O14" s="11"/>
      <c r="P14" s="65">
        <f>IF(Tableau2[[#This Row],[Date de facture]]="","",Tableau2[[#This Row],[Date de facture]]+Tableau2[[#This Row],[Délai de paiement accordé au client ]])</f>
        <v>45322</v>
      </c>
      <c r="Q14" s="12"/>
      <c r="R14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760</v>
      </c>
      <c r="S14" s="15"/>
      <c r="T14" s="15"/>
      <c r="U14" s="15"/>
      <c r="V14" s="15"/>
      <c r="W14" s="15" t="s">
        <v>62</v>
      </c>
    </row>
    <row r="15" ht="20.25" spans="1:23">
      <c r="A15" s="5"/>
      <c r="B15" s="11" t="s">
        <v>38</v>
      </c>
      <c r="C15" s="11" t="s">
        <v>38</v>
      </c>
      <c r="D15" s="11" t="s">
        <v>63</v>
      </c>
      <c r="E15" s="59">
        <v>45427</v>
      </c>
      <c r="F15" s="60">
        <v>845</v>
      </c>
      <c r="G15" s="14">
        <v>0.19</v>
      </c>
      <c r="H15" s="15">
        <v>1</v>
      </c>
      <c r="I15" s="21">
        <f>IF(Tableau2[[#This Row],[Montant HT]]="","",IF(Tableau2[[#This Row],[Montant HT]]&gt;0,Tableau2[[#This Row],[Montant TTC]]-Tableau2[[#This Row],[Montant HT]]))</f>
        <v>161.55</v>
      </c>
      <c r="J15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1006.55</v>
      </c>
      <c r="K15" s="21">
        <f>Tableau2[[#This Row],[Montant TTC]]*0.01</f>
        <v>10.0655</v>
      </c>
      <c r="L15" s="25">
        <f>Tableau2[[#This Row],[Montant TTC]]-Tableau2[[#This Row],[Retenue à la source]]</f>
        <v>996.4845</v>
      </c>
      <c r="M15" s="21">
        <v>0</v>
      </c>
      <c r="N15" s="23" t="str">
        <f t="shared" si="0"/>
        <v>Payé</v>
      </c>
      <c r="O15" s="11"/>
      <c r="P15" s="65">
        <f>IF(Tableau2[[#This Row],[Date de facture]]="","",Tableau2[[#This Row],[Date de facture]]+Tableau2[[#This Row],[Délai de paiement accordé au client ]])</f>
        <v>45427</v>
      </c>
      <c r="Q15" s="12"/>
      <c r="R15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655</v>
      </c>
      <c r="S15" s="15" t="s">
        <v>47</v>
      </c>
      <c r="T15" s="15"/>
      <c r="U15" s="15"/>
      <c r="V15" s="15"/>
      <c r="W15" s="15" t="s">
        <v>64</v>
      </c>
    </row>
    <row r="16" ht="20.25" spans="1:23">
      <c r="A16" s="5"/>
      <c r="B16" s="11" t="s">
        <v>56</v>
      </c>
      <c r="C16" s="11" t="s">
        <v>56</v>
      </c>
      <c r="D16" s="11" t="s">
        <v>65</v>
      </c>
      <c r="E16" s="59">
        <v>45440</v>
      </c>
      <c r="F16" s="60">
        <v>727</v>
      </c>
      <c r="G16" s="14">
        <v>0.19</v>
      </c>
      <c r="H16" s="15">
        <v>1</v>
      </c>
      <c r="I16" s="21">
        <f>IF(Tableau2[[#This Row],[Montant HT]]="","",IF(Tableau2[[#This Row],[Montant HT]]&gt;0,Tableau2[[#This Row],[Montant TTC]]-Tableau2[[#This Row],[Montant HT]]))</f>
        <v>139.13</v>
      </c>
      <c r="J16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866.13</v>
      </c>
      <c r="K16" s="21">
        <v>0</v>
      </c>
      <c r="L16" s="22">
        <f>Tableau2[[#This Row],[Montant TTC]]-Tableau2[[#This Row],[Retenue à la source]]</f>
        <v>866.13</v>
      </c>
      <c r="M16" s="21">
        <f>IF(ISERROR(Tableau2[[#This Row],[Montant TTC]]-Tableau2[[#This Row],[Versements effectués par le client]]),"",Tableau2[[#This Row],[Montant TTC]]-Tableau2[[#This Row],[Versements effectués par le client]])</f>
        <v>0</v>
      </c>
      <c r="N16" s="23" t="str">
        <f t="shared" si="0"/>
        <v>Payé</v>
      </c>
      <c r="O16" s="11"/>
      <c r="P16" s="65">
        <f>IF(Tableau2[[#This Row],[Date de facture]]="","",Tableau2[[#This Row],[Date de facture]]+Tableau2[[#This Row],[Délai de paiement accordé au client ]])</f>
        <v>45440</v>
      </c>
      <c r="Q16" s="12"/>
      <c r="R16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642</v>
      </c>
      <c r="S16" s="15" t="s">
        <v>47</v>
      </c>
      <c r="T16" s="15"/>
      <c r="U16" s="15"/>
      <c r="V16" s="15"/>
      <c r="W16" s="15" t="s">
        <v>58</v>
      </c>
    </row>
    <row r="17" ht="20.25" spans="1:23">
      <c r="A17" s="5"/>
      <c r="B17" s="11" t="s">
        <v>66</v>
      </c>
      <c r="C17" s="11" t="s">
        <v>66</v>
      </c>
      <c r="D17" s="11" t="s">
        <v>67</v>
      </c>
      <c r="E17" s="59">
        <v>45455</v>
      </c>
      <c r="F17" s="60">
        <v>31</v>
      </c>
      <c r="G17" s="14">
        <v>0.19</v>
      </c>
      <c r="H17" s="14"/>
      <c r="I17" s="21">
        <f>IF(Tableau2[[#This Row],[Montant HT]]="","",IF(Tableau2[[#This Row],[Montant HT]]&gt;0,Tableau2[[#This Row],[Montant TTC]]-Tableau2[[#This Row],[Montant HT]]))</f>
        <v>5.89</v>
      </c>
      <c r="J17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36.89</v>
      </c>
      <c r="K17" s="21">
        <v>0</v>
      </c>
      <c r="L17" s="22">
        <v>36.89</v>
      </c>
      <c r="M17" s="21">
        <f>IF(ISERROR(Tableau2[[#This Row],[Montant TTC]]-Tableau2[[#This Row],[Versements effectués par le client]]),"",Tableau2[[#This Row],[Montant TTC]]-Tableau2[[#This Row],[Versements effectués par le client]])</f>
        <v>0</v>
      </c>
      <c r="N17" s="23" t="s">
        <v>68</v>
      </c>
      <c r="O17" s="11"/>
      <c r="P17" s="65">
        <f>IF(Tableau2[[#This Row],[Date de facture]]="","",Tableau2[[#This Row],[Date de facture]]+Tableau2[[#This Row],[Délai de paiement accordé au client ]])</f>
        <v>45455</v>
      </c>
      <c r="Q17" s="12"/>
      <c r="R17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627</v>
      </c>
      <c r="S17" s="15" t="s">
        <v>69</v>
      </c>
      <c r="T17" s="15"/>
      <c r="U17" s="15"/>
      <c r="V17" s="15"/>
      <c r="W17" s="15" t="s">
        <v>70</v>
      </c>
    </row>
    <row r="18" ht="20.25" spans="1:23">
      <c r="A18" s="5"/>
      <c r="B18" s="11" t="s">
        <v>38</v>
      </c>
      <c r="C18" s="11" t="s">
        <v>38</v>
      </c>
      <c r="D18" s="11" t="s">
        <v>71</v>
      </c>
      <c r="E18" s="59">
        <v>45455</v>
      </c>
      <c r="F18" s="60">
        <v>4150</v>
      </c>
      <c r="G18" s="14">
        <v>0.19</v>
      </c>
      <c r="H18" s="15">
        <v>1</v>
      </c>
      <c r="I18" s="21">
        <f>IF(Tableau2[[#This Row],[Montant HT]]="","",IF(Tableau2[[#This Row],[Montant HT]]&gt;0,Tableau2[[#This Row],[Montant TTC]]-Tableau2[[#This Row],[Montant HT]]))</f>
        <v>789.5</v>
      </c>
      <c r="J18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4939.5</v>
      </c>
      <c r="K18" s="21">
        <f>Tableau2[[#This Row],[Montant TTC]]*0.01</f>
        <v>49.395</v>
      </c>
      <c r="L18" s="22">
        <f>Tableau2[[#This Row],[Montant TTC]]-Tableau2[[#This Row],[Retenue à la source]]</f>
        <v>4890.105</v>
      </c>
      <c r="M18" s="21">
        <v>0</v>
      </c>
      <c r="N18" s="23" t="str">
        <f t="shared" si="0"/>
        <v>Payé</v>
      </c>
      <c r="O18" s="11"/>
      <c r="P18" s="65">
        <f>IF(Tableau2[[#This Row],[Date de facture]]="","",Tableau2[[#This Row],[Date de facture]]+Tableau2[[#This Row],[Délai de paiement accordé au client ]])</f>
        <v>45455</v>
      </c>
      <c r="Q18" s="12"/>
      <c r="R18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627</v>
      </c>
      <c r="S18" s="15" t="s">
        <v>47</v>
      </c>
      <c r="T18" s="15"/>
      <c r="U18" s="15"/>
      <c r="V18" s="15"/>
      <c r="W18" s="15" t="s">
        <v>72</v>
      </c>
    </row>
    <row r="19" ht="20.25" spans="1:23">
      <c r="A19" s="5"/>
      <c r="B19" s="11" t="s">
        <v>56</v>
      </c>
      <c r="C19" s="11" t="s">
        <v>56</v>
      </c>
      <c r="D19" s="11" t="s">
        <v>73</v>
      </c>
      <c r="E19" s="59">
        <v>45474</v>
      </c>
      <c r="F19" s="60">
        <v>544</v>
      </c>
      <c r="G19" s="14">
        <v>0.19</v>
      </c>
      <c r="H19" s="15">
        <v>1</v>
      </c>
      <c r="I19" s="21">
        <f>IF(Tableau2[[#This Row],[Montant HT]]="","",IF(Tableau2[[#This Row],[Montant HT]]&gt;0,Tableau2[[#This Row],[Montant TTC]]-Tableau2[[#This Row],[Montant HT]]))</f>
        <v>104.36</v>
      </c>
      <c r="J19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648.36</v>
      </c>
      <c r="K19" s="21">
        <v>0</v>
      </c>
      <c r="L19" s="25">
        <v>648.36</v>
      </c>
      <c r="M19" s="21">
        <f>IF(ISERROR(Tableau2[[#This Row],[Montant TTC]]-Tableau2[[#This Row],[Versements effectués par le client]]),"",Tableau2[[#This Row],[Montant TTC]]-Tableau2[[#This Row],[Versements effectués par le client]])</f>
        <v>0</v>
      </c>
      <c r="N19" s="23" t="str">
        <f t="shared" si="0"/>
        <v>Payé</v>
      </c>
      <c r="O19" s="11"/>
      <c r="P19" s="65">
        <f>IF(Tableau2[[#This Row],[Date de facture]]="","",Tableau2[[#This Row],[Date de facture]]+Tableau2[[#This Row],[Délai de paiement accordé au client ]])</f>
        <v>45474</v>
      </c>
      <c r="Q19" s="12"/>
      <c r="R19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608</v>
      </c>
      <c r="S19" s="15" t="s">
        <v>47</v>
      </c>
      <c r="T19" s="15"/>
      <c r="U19" s="15"/>
      <c r="V19" s="15"/>
      <c r="W19" s="15" t="s">
        <v>74</v>
      </c>
    </row>
    <row r="20" ht="20.25" spans="1:23">
      <c r="A20" s="5"/>
      <c r="B20" s="11" t="s">
        <v>56</v>
      </c>
      <c r="C20" s="11" t="s">
        <v>56</v>
      </c>
      <c r="D20" s="11" t="s">
        <v>75</v>
      </c>
      <c r="E20" s="59">
        <v>45503</v>
      </c>
      <c r="F20" s="60">
        <v>744</v>
      </c>
      <c r="G20" s="14">
        <v>0.19</v>
      </c>
      <c r="H20" s="15">
        <v>1</v>
      </c>
      <c r="I20" s="21">
        <f>IF(Tableau2[[#This Row],[Montant HT]]="","",IF(Tableau2[[#This Row],[Montant HT]]&gt;0,Tableau2[[#This Row],[Montant TTC]]-Tableau2[[#This Row],[Montant HT]]))</f>
        <v>142.36</v>
      </c>
      <c r="J20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886.36</v>
      </c>
      <c r="K20" s="21">
        <v>0</v>
      </c>
      <c r="L20" s="25"/>
      <c r="M20" s="21">
        <f>IF(ISERROR(Tableau2[[#This Row],[Montant TTC]]-Tableau2[[#This Row],[Versements effectués par le client]]),"",Tableau2[[#This Row],[Montant TTC]]-Tableau2[[#This Row],[Versements effectués par le client]])</f>
        <v>886.36</v>
      </c>
      <c r="N20" s="23" t="str">
        <f t="shared" si="0"/>
        <v>Pas encore payé</v>
      </c>
      <c r="O20" s="11"/>
      <c r="P20" s="65">
        <f>IF(Tableau2[[#This Row],[Date de facture]]="","",Tableau2[[#This Row],[Date de facture]]+Tableau2[[#This Row],[Délai de paiement accordé au client ]])</f>
        <v>45503</v>
      </c>
      <c r="Q20" s="12"/>
      <c r="R20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579</v>
      </c>
      <c r="S20" s="15" t="s">
        <v>47</v>
      </c>
      <c r="T20" s="15"/>
      <c r="U20" s="15"/>
      <c r="V20" s="15"/>
      <c r="W20" s="15" t="s">
        <v>74</v>
      </c>
    </row>
    <row r="21" ht="20.25" spans="1:23">
      <c r="A21" s="5"/>
      <c r="B21" s="11" t="s">
        <v>76</v>
      </c>
      <c r="C21" s="11" t="s">
        <v>76</v>
      </c>
      <c r="D21" s="11" t="s">
        <v>77</v>
      </c>
      <c r="E21" s="59">
        <v>45359</v>
      </c>
      <c r="F21" s="60">
        <f>36036+15444</f>
        <v>51480</v>
      </c>
      <c r="G21" s="14">
        <v>0.19</v>
      </c>
      <c r="H21" s="15"/>
      <c r="I21" s="21">
        <f>IF(Tableau2[[#This Row],[Montant HT]]="","",IF(Tableau2[[#This Row],[Montant HT]]&gt;0,Tableau2[[#This Row],[Montant TTC]]-Tableau2[[#This Row],[Montant HT]]))</f>
        <v>9781.2</v>
      </c>
      <c r="J21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61261.2</v>
      </c>
      <c r="K21" s="21">
        <f>Tableau2[[#This Row],[Montant TTC]]*0.01</f>
        <v>612.612</v>
      </c>
      <c r="L21" s="3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61261.2</v>
      </c>
      <c r="M21" s="21">
        <f>IF(ISERROR(Tableau2[[#This Row],[Montant TTC]]-Tableau2[[#This Row],[Versements effectués par le client]]),"",Tableau2[[#This Row],[Montant TTC]]-Tableau2[[#This Row],[Versements effectués par le client]])</f>
        <v>0</v>
      </c>
      <c r="N21" s="23" t="str">
        <f t="shared" si="0"/>
        <v>Payé</v>
      </c>
      <c r="O21" s="11"/>
      <c r="P21" s="65">
        <f>IF(Tableau2[[#This Row],[Date de facture]]="","",Tableau2[[#This Row],[Date de facture]]+Tableau2[[#This Row],[Délai de paiement accordé au client ]])</f>
        <v>45359</v>
      </c>
      <c r="Q21" s="12"/>
      <c r="R21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723</v>
      </c>
      <c r="S21" s="15" t="s">
        <v>47</v>
      </c>
      <c r="T21" s="15"/>
      <c r="U21" s="15"/>
      <c r="V21" s="15"/>
      <c r="W21" s="15" t="s">
        <v>78</v>
      </c>
    </row>
    <row r="22" ht="20.25" spans="1:23">
      <c r="A22" s="5"/>
      <c r="B22" s="11" t="s">
        <v>56</v>
      </c>
      <c r="C22" s="11" t="s">
        <v>56</v>
      </c>
      <c r="D22" s="11" t="s">
        <v>79</v>
      </c>
      <c r="E22" s="59">
        <v>45541</v>
      </c>
      <c r="F22" s="60">
        <v>544</v>
      </c>
      <c r="G22" s="14">
        <v>0.19</v>
      </c>
      <c r="H22" s="15">
        <v>1</v>
      </c>
      <c r="I22" s="21">
        <f>IF(Tableau2[[#This Row],[Montant HT]]="","",IF(Tableau2[[#This Row],[Montant HT]]&gt;0,Tableau2[[#This Row],[Montant TTC]]-Tableau2[[#This Row],[Montant HT]]))</f>
        <v>104.36</v>
      </c>
      <c r="J22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648.36</v>
      </c>
      <c r="K22" s="21">
        <f>Tableau2[[#This Row],[Montant TTC]]*0.01</f>
        <v>6.4836</v>
      </c>
      <c r="L22" s="3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648.36</v>
      </c>
      <c r="M22" s="21">
        <f>IF(ISERROR(Tableau2[[#This Row],[Montant TTC]]-Tableau2[[#This Row],[Versements effectués par le client]]),"",Tableau2[[#This Row],[Montant TTC]]-Tableau2[[#This Row],[Versements effectués par le client]])</f>
        <v>0</v>
      </c>
      <c r="N22" s="23" t="str">
        <f t="shared" si="0"/>
        <v>Payé</v>
      </c>
      <c r="O22" s="11"/>
      <c r="P22" s="65">
        <f>IF(Tableau2[[#This Row],[Date de facture]]="","",Tableau2[[#This Row],[Date de facture]]+Tableau2[[#This Row],[Délai de paiement accordé au client ]])</f>
        <v>45541</v>
      </c>
      <c r="Q22" s="12"/>
      <c r="R22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541</v>
      </c>
      <c r="S22" s="15" t="s">
        <v>47</v>
      </c>
      <c r="T22" s="15"/>
      <c r="U22" s="15"/>
      <c r="V22" s="15"/>
      <c r="W22" s="15" t="s">
        <v>58</v>
      </c>
    </row>
    <row r="23" ht="20.25" spans="1:23">
      <c r="A23" s="5"/>
      <c r="B23" s="11" t="s">
        <v>80</v>
      </c>
      <c r="C23" s="11" t="s">
        <v>80</v>
      </c>
      <c r="D23" s="11" t="s">
        <v>81</v>
      </c>
      <c r="E23" s="59">
        <v>45358</v>
      </c>
      <c r="F23" s="60">
        <v>1830.4</v>
      </c>
      <c r="G23" s="14">
        <v>0.19</v>
      </c>
      <c r="H23" s="15">
        <v>1</v>
      </c>
      <c r="I23" s="21">
        <v>347.776</v>
      </c>
      <c r="J23" s="21">
        <v>2178.176</v>
      </c>
      <c r="K23" s="21">
        <f>IF(Tableau2[[#This Row],[Montant TTC]]=""," ",Tableau2[[#This Row],[Montant TTC]]*0.01)</f>
        <v>21.78176</v>
      </c>
      <c r="L23" s="25">
        <f>Tableau2[[#This Row],[Montant TTC]]-Tableau2[[#This Row],[Retenue à la source]]-Tableau2[[#This Row],[Timbre]]</f>
        <v>2155.39424</v>
      </c>
      <c r="M23" s="21">
        <f>IF(ISERROR(Tableau2[[#This Row],[Montant TTC]]-Tableau2[[#This Row],[Versements effectués par le client]]),"",Tableau2[[#This Row],[Montant TTC]]-Tableau2[[#This Row],[Versements effectués par le client]])</f>
        <v>22.7817599999998</v>
      </c>
      <c r="N23" s="23" t="str">
        <f>IF(Tableau2[[#This Row],[Versements effectués par le client]]="","",IF(M23=0,"Payé","Pas encore payé"))</f>
        <v>Pas encore payé</v>
      </c>
      <c r="O23" s="11"/>
      <c r="P23" s="65">
        <f>IF(Tableau2[[#This Row],[Date de facture]]="","",Tableau2[[#This Row],[Date de facture]]+Tableau2[[#This Row],[Délai de paiement accordé au client ]])</f>
        <v>45358</v>
      </c>
      <c r="Q23" s="12"/>
      <c r="R23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724</v>
      </c>
      <c r="S23" s="15" t="s">
        <v>47</v>
      </c>
      <c r="T23" s="15"/>
      <c r="U23" s="15"/>
      <c r="V23" s="15"/>
      <c r="W23" s="15" t="s">
        <v>82</v>
      </c>
    </row>
    <row r="24" ht="20.25" spans="1:23">
      <c r="A24" s="5"/>
      <c r="B24" s="11" t="s">
        <v>83</v>
      </c>
      <c r="C24" s="11" t="s">
        <v>83</v>
      </c>
      <c r="D24" s="11" t="s">
        <v>84</v>
      </c>
      <c r="E24" s="59">
        <v>45609</v>
      </c>
      <c r="F24" s="60">
        <v>19500</v>
      </c>
      <c r="G24" s="14">
        <v>0.19</v>
      </c>
      <c r="H24" s="15">
        <v>1</v>
      </c>
      <c r="I24" s="21">
        <f>IF(Tableau2[[#This Row],[Montant HT]]="","",IF(Tableau2[[#This Row],[Montant HT]]&gt;0,Tableau2[[#This Row],[Montant TTC]]-Tableau2[[#This Row],[Montant HT]]))</f>
        <v>3706</v>
      </c>
      <c r="J24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23206</v>
      </c>
      <c r="K24" s="21">
        <f>IF(Tableau2[[#This Row],[Montant TTC]]=""," ",Tableau2[[#This Row],[Montant TTC]]*0.01)</f>
        <v>232.06</v>
      </c>
      <c r="L24" s="25">
        <v>6892.182</v>
      </c>
      <c r="M24" s="21">
        <f>IF(ISERROR(Tableau2[[#This Row],[Montant TTC]]-Tableau2[[#This Row],[Versements effectués par le client]]),"",Tableau2[[#This Row],[Montant TTC]]-Tableau2[[#This Row],[Versements effectués par le client]])</f>
        <v>16313.818</v>
      </c>
      <c r="N24" s="23"/>
      <c r="O24" s="11"/>
      <c r="P24" s="65">
        <f>IF(Tableau2[[#This Row],[Date de facture]]="","",Tableau2[[#This Row],[Date de facture]]+Tableau2[[#This Row],[Délai de paiement accordé au client ]])</f>
        <v>45609</v>
      </c>
      <c r="Q24" s="12"/>
      <c r="R24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473</v>
      </c>
      <c r="S24" s="15"/>
      <c r="T24" s="15"/>
      <c r="U24" s="15"/>
      <c r="V24" s="15"/>
      <c r="W24" s="15"/>
    </row>
    <row r="25" ht="20.25" spans="1:23">
      <c r="A25" s="5"/>
      <c r="B25" s="11" t="s">
        <v>38</v>
      </c>
      <c r="C25" s="11" t="s">
        <v>38</v>
      </c>
      <c r="D25" s="11" t="s">
        <v>85</v>
      </c>
      <c r="E25" s="59">
        <v>45636</v>
      </c>
      <c r="F25" s="60">
        <v>26784</v>
      </c>
      <c r="G25" s="14">
        <v>0.19</v>
      </c>
      <c r="H25" s="14">
        <v>1</v>
      </c>
      <c r="I25" s="21">
        <f>IF(Tableau2[[#This Row],[Montant HT]]="","",IF(Tableau2[[#This Row],[Montant HT]]&gt;0,Tableau2[[#This Row],[Montant TTC]]-Tableau2[[#This Row],[Montant HT]]))</f>
        <v>5089.96</v>
      </c>
      <c r="J25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31873.96</v>
      </c>
      <c r="K25" s="21">
        <f>IF(Tableau2[[#This Row],[Montant TTC]]=""," ",Tableau2[[#This Row],[Montant TTC]]*0.01)</f>
        <v>318.7396</v>
      </c>
      <c r="L25" s="21">
        <v>31873.96</v>
      </c>
      <c r="M25" s="21">
        <f>IF(ISERROR(Tableau2[[#This Row],[Montant TTC]]-Tableau2[[#This Row],[Versements effectués par le client]]),"",Tableau2[[#This Row],[Montant TTC]]-Tableau2[[#This Row],[Versements effectués par le client]])</f>
        <v>0</v>
      </c>
      <c r="N25" s="23" t="str">
        <f>IF(Tableau2[[#This Row],[Versements effectués par le client]]="","",IF(M25=0,"Payé","Pas encore payé"))</f>
        <v>Payé</v>
      </c>
      <c r="O25" s="11"/>
      <c r="P25" s="65">
        <f>IF(Tableau2[[#This Row],[Date de facture]]="","",Tableau2[[#This Row],[Date de facture]]+Tableau2[[#This Row],[Délai de paiement accordé au client ]])</f>
        <v>45636</v>
      </c>
      <c r="Q25" s="12"/>
      <c r="R25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446</v>
      </c>
      <c r="S25" s="15"/>
      <c r="T25" s="15"/>
      <c r="U25" s="15"/>
      <c r="V25" s="15"/>
      <c r="W25" s="15" t="s">
        <v>86</v>
      </c>
    </row>
    <row r="26" ht="20.25" spans="1:23">
      <c r="A26" s="5"/>
      <c r="B26" s="11" t="s">
        <v>87</v>
      </c>
      <c r="C26" s="11" t="s">
        <v>87</v>
      </c>
      <c r="D26" s="11"/>
      <c r="E26" s="12">
        <v>45503</v>
      </c>
      <c r="F26" s="60">
        <v>2489</v>
      </c>
      <c r="G26" s="14"/>
      <c r="H26" s="14"/>
      <c r="I26" s="21">
        <f>IF(Tableau2[[#This Row],[Montant HT]]="","",IF(Tableau2[[#This Row],[Montant HT]]&gt;0,Tableau2[[#This Row],[Montant TTC]]-Tableau2[[#This Row],[Montant HT]]))</f>
        <v>0</v>
      </c>
      <c r="J26" s="21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>2489</v>
      </c>
      <c r="K26" s="21">
        <f>IF(Tableau2[[#This Row],[Montant TTC]]=""," ",Tableau2[[#This Row],[Montant TTC]]*0.01)</f>
        <v>24.89</v>
      </c>
      <c r="L26" s="66"/>
      <c r="M26" s="21">
        <f>IF(ISERROR(Tableau2[[#This Row],[Montant TTC]]-Tableau2[[#This Row],[Versements effectués par le client]]),"",Tableau2[[#This Row],[Montant TTC]]-Tableau2[[#This Row],[Versements effectués par le client]])</f>
        <v>2489</v>
      </c>
      <c r="N26" s="23" t="str">
        <f>IF(Tableau2[[#This Row],[Versements effectués par le client]]="","",IF(M26=0,"Payé","Pas encore payé"))</f>
        <v/>
      </c>
      <c r="O26" s="11"/>
      <c r="P26" s="65">
        <f>IF(Tableau2[[#This Row],[Date de facture]]="","",Tableau2[[#This Row],[Date de facture]]+Tableau2[[#This Row],[Délai de paiement accordé au client ]])</f>
        <v>45503</v>
      </c>
      <c r="Q26" s="12"/>
      <c r="R26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579</v>
      </c>
      <c r="S26" s="15"/>
      <c r="T26" s="15"/>
      <c r="U26" s="15"/>
      <c r="V26" s="15"/>
      <c r="W26" s="15"/>
    </row>
    <row r="27" ht="20.25" spans="1:23">
      <c r="A27" s="5"/>
      <c r="B27" s="11"/>
      <c r="C27" s="11"/>
      <c r="D27" s="11"/>
      <c r="E27" s="12"/>
      <c r="F27" s="60"/>
      <c r="G27" s="14"/>
      <c r="H27" s="14"/>
      <c r="I27" s="21" t="str">
        <f>IF(Tableau2[[#This Row],[Montant HT]]="","",IF(Tableau2[[#This Row],[Montant HT]]&gt;0,Tableau2[[#This Row],[Montant TTC]]-Tableau2[[#This Row],[Montant HT]]))</f>
        <v/>
      </c>
      <c r="J27" s="21" t="str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/>
      </c>
      <c r="K27" s="21" t="str">
        <f>IF(Tableau2[[#This Row],[Montant TTC]]=""," ",Tableau2[[#This Row],[Montant TTC]]*0.01)</f>
        <v> </v>
      </c>
      <c r="L27" s="66"/>
      <c r="M27" s="21" t="str">
        <f>IF(ISERROR(Tableau2[[#This Row],[Montant TTC]]-Tableau2[[#This Row],[Versements effectués par le client]]),"",Tableau2[[#This Row],[Montant TTC]]-Tableau2[[#This Row],[Versements effectués par le client]])</f>
        <v/>
      </c>
      <c r="N27" s="23" t="str">
        <f>IF(Tableau2[[#This Row],[Versements effectués par le client]]="","",IF(M27=0,"Payé","Pas encore payé"))</f>
        <v/>
      </c>
      <c r="O27" s="11"/>
      <c r="P27" s="65" t="str">
        <f>IF(Tableau2[[#This Row],[Date de facture]]="","",Tableau2[[#This Row],[Date de facture]]+Tableau2[[#This Row],[Délai de paiement accordé au client ]])</f>
        <v/>
      </c>
      <c r="Q27" s="12"/>
      <c r="R27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0</v>
      </c>
      <c r="S27" s="15"/>
      <c r="T27" s="15"/>
      <c r="U27" s="15"/>
      <c r="V27" s="15"/>
      <c r="W27" s="15"/>
    </row>
    <row r="28" ht="20.25" spans="1:23">
      <c r="A28" s="5"/>
      <c r="B28" s="11"/>
      <c r="C28" s="11"/>
      <c r="D28" s="11"/>
      <c r="E28" s="12"/>
      <c r="F28" s="60"/>
      <c r="G28" s="14"/>
      <c r="H28" s="14"/>
      <c r="I28" s="21" t="str">
        <f>IF(Tableau2[[#This Row],[Montant HT]]="","",IF(Tableau2[[#This Row],[Montant HT]]&gt;0,Tableau2[[#This Row],[Montant TTC]]-Tableau2[[#This Row],[Montant HT]]))</f>
        <v/>
      </c>
      <c r="J28" s="21" t="str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/>
      </c>
      <c r="K28" s="21" t="str">
        <f>IF(Tableau2[[#This Row],[Montant TTC]]=""," ",Tableau2[[#This Row],[Montant TTC]]*0.01)</f>
        <v> </v>
      </c>
      <c r="L28" s="66"/>
      <c r="M28" s="21" t="str">
        <f>IF(ISERROR(Tableau2[[#This Row],[Montant TTC]]-Tableau2[[#This Row],[Versements effectués par le client]]),"",Tableau2[[#This Row],[Montant TTC]]-Tableau2[[#This Row],[Versements effectués par le client]])</f>
        <v/>
      </c>
      <c r="N28" s="23" t="str">
        <f>IF(Tableau2[[#This Row],[Versements effectués par le client]]="","",IF(M28=0,"Payé","Pas encore payé"))</f>
        <v/>
      </c>
      <c r="O28" s="11"/>
      <c r="P28" s="65" t="str">
        <f>IF(Tableau2[[#This Row],[Date de facture]]="","",Tableau2[[#This Row],[Date de facture]]+Tableau2[[#This Row],[Délai de paiement accordé au client ]])</f>
        <v/>
      </c>
      <c r="Q28" s="12"/>
      <c r="R28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0</v>
      </c>
      <c r="S28" s="15"/>
      <c r="T28" s="15"/>
      <c r="U28" s="15"/>
      <c r="V28" s="15"/>
      <c r="W28" s="15"/>
    </row>
    <row r="29" ht="20.25" spans="1:23">
      <c r="A29" s="5"/>
      <c r="B29" s="11"/>
      <c r="C29" s="11"/>
      <c r="D29" s="11"/>
      <c r="E29" s="12"/>
      <c r="F29" s="60"/>
      <c r="G29" s="14"/>
      <c r="H29" s="14"/>
      <c r="I29" s="21" t="str">
        <f>IF(Tableau2[[#This Row],[Montant HT]]="","",IF(Tableau2[[#This Row],[Montant HT]]&gt;0,Tableau2[[#This Row],[Montant TTC]]-Tableau2[[#This Row],[Montant HT]]))</f>
        <v/>
      </c>
      <c r="J29" s="21" t="str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/>
      </c>
      <c r="K29" s="21" t="str">
        <f>IF(Tableau2[[#This Row],[Montant TTC]]=""," ",Tableau2[[#This Row],[Montant TTC]]*0.01)</f>
        <v> </v>
      </c>
      <c r="L29" s="66"/>
      <c r="M29" s="21" t="str">
        <f>IF(ISERROR(Tableau2[[#This Row],[Montant TTC]]-Tableau2[[#This Row],[Versements effectués par le client]]),"",Tableau2[[#This Row],[Montant TTC]]-Tableau2[[#This Row],[Versements effectués par le client]])</f>
        <v/>
      </c>
      <c r="N29" s="23" t="str">
        <f>IF(Tableau2[[#This Row],[Versements effectués par le client]]="","",IF(M29=0,"Payé","Pas encore payé"))</f>
        <v/>
      </c>
      <c r="O29" s="11"/>
      <c r="P29" s="65" t="str">
        <f>IF(Tableau2[[#This Row],[Date de facture]]="","",Tableau2[[#This Row],[Date de facture]]+Tableau2[[#This Row],[Délai de paiement accordé au client ]])</f>
        <v/>
      </c>
      <c r="Q29" s="12"/>
      <c r="R29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0</v>
      </c>
      <c r="S29" s="15"/>
      <c r="T29" s="15"/>
      <c r="U29" s="15"/>
      <c r="V29" s="15"/>
      <c r="W29" s="15"/>
    </row>
    <row r="30" ht="20.25" spans="1:23">
      <c r="A30" s="5"/>
      <c r="B30" s="11"/>
      <c r="C30" s="11"/>
      <c r="D30" s="11"/>
      <c r="E30" s="12"/>
      <c r="F30" s="60"/>
      <c r="G30" s="14"/>
      <c r="H30" s="14"/>
      <c r="I30" s="21" t="str">
        <f>IF(Tableau2[[#This Row],[Montant HT]]="","",IF(Tableau2[[#This Row],[Montant HT]]&gt;0,Tableau2[[#This Row],[Montant TTC]]-Tableau2[[#This Row],[Montant HT]]))</f>
        <v/>
      </c>
      <c r="J30" s="21" t="str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/>
      </c>
      <c r="K30" s="21" t="str">
        <f>IF(Tableau2[[#This Row],[Montant TTC]]=""," ",Tableau2[[#This Row],[Montant TTC]]*0.01)</f>
        <v> </v>
      </c>
      <c r="L30" s="66"/>
      <c r="M30" s="21" t="str">
        <f>IF(ISERROR(Tableau2[[#This Row],[Montant TTC]]-Tableau2[[#This Row],[Versements effectués par le client]]),"",Tableau2[[#This Row],[Montant TTC]]-Tableau2[[#This Row],[Versements effectués par le client]])</f>
        <v/>
      </c>
      <c r="N30" s="23" t="str">
        <f>IF(Tableau2[[#This Row],[Versements effectués par le client]]="","",IF(M30=0,"Payé","Pas encore payé"))</f>
        <v/>
      </c>
      <c r="O30" s="11"/>
      <c r="P30" s="65" t="str">
        <f>IF(Tableau2[[#This Row],[Date de facture]]="","",Tableau2[[#This Row],[Date de facture]]+Tableau2[[#This Row],[Délai de paiement accordé au client ]])</f>
        <v/>
      </c>
      <c r="Q30" s="12"/>
      <c r="R30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0</v>
      </c>
      <c r="S30" s="15"/>
      <c r="T30" s="15"/>
      <c r="U30" s="15"/>
      <c r="V30" s="15"/>
      <c r="W30" s="15"/>
    </row>
    <row r="31" ht="20.25" spans="1:23">
      <c r="A31" s="5"/>
      <c r="B31" s="11"/>
      <c r="C31" s="11"/>
      <c r="D31" s="11"/>
      <c r="E31" s="12"/>
      <c r="F31" s="60"/>
      <c r="G31" s="14"/>
      <c r="H31" s="14"/>
      <c r="I31" s="21" t="str">
        <f>IF(Tableau2[[#This Row],[Montant HT]]="","",IF(Tableau2[[#This Row],[Montant HT]]&gt;0,Tableau2[[#This Row],[Montant TTC]]-Tableau2[[#This Row],[Montant HT]]))</f>
        <v/>
      </c>
      <c r="J31" s="21" t="str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/>
      </c>
      <c r="K31" s="21" t="str">
        <f>IF(Tableau2[[#This Row],[Montant TTC]]=""," ",Tableau2[[#This Row],[Montant TTC]]*0.01)</f>
        <v> </v>
      </c>
      <c r="L31" s="66"/>
      <c r="M31" s="21" t="str">
        <f>IF(ISERROR(Tableau2[[#This Row],[Montant TTC]]-Tableau2[[#This Row],[Versements effectués par le client]]),"",Tableau2[[#This Row],[Montant TTC]]-Tableau2[[#This Row],[Versements effectués par le client]])</f>
        <v/>
      </c>
      <c r="N31" s="23" t="str">
        <f>IF(Tableau2[[#This Row],[Versements effectués par le client]]="","",IF(M31=0,"Payé","Pas encore payé"))</f>
        <v/>
      </c>
      <c r="O31" s="11"/>
      <c r="P31" s="65" t="str">
        <f>IF(Tableau2[[#This Row],[Date de facture]]="","",Tableau2[[#This Row],[Date de facture]]+Tableau2[[#This Row],[Délai de paiement accordé au client ]])</f>
        <v/>
      </c>
      <c r="Q31" s="12"/>
      <c r="R31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0</v>
      </c>
      <c r="S31" s="15"/>
      <c r="T31" s="15"/>
      <c r="U31" s="15"/>
      <c r="V31" s="15"/>
      <c r="W31" s="15"/>
    </row>
    <row r="32" ht="20.25" spans="1:23">
      <c r="A32" s="5"/>
      <c r="B32" s="11"/>
      <c r="C32" s="11"/>
      <c r="D32" s="11"/>
      <c r="E32" s="12"/>
      <c r="F32" s="60"/>
      <c r="G32" s="14"/>
      <c r="H32" s="14"/>
      <c r="I32" s="21" t="str">
        <f>IF(Tableau2[[#This Row],[Montant HT]]="","",IF(Tableau2[[#This Row],[Montant HT]]&gt;0,Tableau2[[#This Row],[Montant TTC]]-Tableau2[[#This Row],[Montant HT]]))</f>
        <v/>
      </c>
      <c r="J32" s="21" t="str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/>
      </c>
      <c r="K32" s="21" t="str">
        <f>IF(Tableau2[[#This Row],[Montant TTC]]=""," ",Tableau2[[#This Row],[Montant TTC]]*0.01)</f>
        <v> </v>
      </c>
      <c r="L32" s="66"/>
      <c r="M32" s="21" t="str">
        <f>IF(ISERROR(Tableau2[[#This Row],[Montant TTC]]-Tableau2[[#This Row],[Versements effectués par le client]]),"",Tableau2[[#This Row],[Montant TTC]]-Tableau2[[#This Row],[Versements effectués par le client]])</f>
        <v/>
      </c>
      <c r="N32" s="23" t="str">
        <f>IF(Tableau2[[#This Row],[Versements effectués par le client]]="","",IF(M32=0,"Payé","Pas encore payé"))</f>
        <v/>
      </c>
      <c r="O32" s="11"/>
      <c r="P32" s="65" t="str">
        <f>IF(Tableau2[[#This Row],[Date de facture]]="","",Tableau2[[#This Row],[Date de facture]]+Tableau2[[#This Row],[Délai de paiement accordé au client ]])</f>
        <v/>
      </c>
      <c r="Q32" s="12"/>
      <c r="R32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0</v>
      </c>
      <c r="S32" s="15"/>
      <c r="T32" s="15"/>
      <c r="U32" s="15"/>
      <c r="V32" s="15"/>
      <c r="W32" s="15"/>
    </row>
    <row r="33" ht="20.25" spans="1:23">
      <c r="A33" s="5"/>
      <c r="B33" s="11"/>
      <c r="C33" s="11"/>
      <c r="D33" s="11"/>
      <c r="E33" s="12"/>
      <c r="F33" s="60"/>
      <c r="G33" s="14"/>
      <c r="H33" s="15"/>
      <c r="I33" s="21"/>
      <c r="J33" s="21"/>
      <c r="K33" s="21" t="str">
        <f>IF(Tableau2[[#This Row],[Montant TTC]]=""," ",Tableau2[[#This Row],[Montant TTC]]*0.01)</f>
        <v> </v>
      </c>
      <c r="L33" s="25"/>
      <c r="M33" s="21"/>
      <c r="N33" s="23" t="str">
        <f>IF(Tableau2[[#This Row],[Versements effectués par le client]]="","",IF(M33=0,"Payé","Pas encore payé"))</f>
        <v/>
      </c>
      <c r="O33" s="11"/>
      <c r="P33" s="65"/>
      <c r="Q33" s="12"/>
      <c r="R33" s="70"/>
      <c r="S33" s="15"/>
      <c r="T33" s="15"/>
      <c r="U33" s="15"/>
      <c r="V33" s="15"/>
      <c r="W33" s="15"/>
    </row>
    <row r="34" ht="20.25" spans="1:23">
      <c r="A34" s="5"/>
      <c r="B34" s="11"/>
      <c r="C34" s="11"/>
      <c r="D34" s="11"/>
      <c r="E34" s="12"/>
      <c r="F34" s="60"/>
      <c r="G34" s="14"/>
      <c r="H34" s="14"/>
      <c r="I34" s="21"/>
      <c r="J34" s="21"/>
      <c r="K34" s="21" t="str">
        <f>IF(Tableau2[[#This Row],[Montant TTC]]=""," ",Tableau2[[#This Row],[Montant TTC]]*0.01)</f>
        <v> </v>
      </c>
      <c r="L34" s="25"/>
      <c r="M34" s="21"/>
      <c r="N34" s="23" t="str">
        <f>IF(Tableau2[[#This Row],[Versements effectués par le client]]="","",IF(M34=0,"Payé","Pas encore payé"))</f>
        <v/>
      </c>
      <c r="O34" s="11"/>
      <c r="P34" s="65"/>
      <c r="Q34" s="12"/>
      <c r="R34" s="70"/>
      <c r="S34" s="15"/>
      <c r="T34" s="15"/>
      <c r="U34" s="15"/>
      <c r="V34" s="15"/>
      <c r="W34" s="15"/>
    </row>
    <row r="35" ht="20.25" spans="1:23">
      <c r="A35" s="5"/>
      <c r="B35" s="11"/>
      <c r="C35" s="11"/>
      <c r="D35" s="11"/>
      <c r="E35" s="12"/>
      <c r="F35" s="60"/>
      <c r="G35" s="14"/>
      <c r="H35" s="14"/>
      <c r="I35" s="21"/>
      <c r="J35" s="21"/>
      <c r="K35" s="21" t="str">
        <f>IF(Tableau2[[#This Row],[Montant TTC]]=""," ",Tableau2[[#This Row],[Montant TTC]]*0.01)</f>
        <v> </v>
      </c>
      <c r="L35" s="25"/>
      <c r="M35" s="21"/>
      <c r="N35" s="23" t="str">
        <f>IF(Tableau2[[#This Row],[Versements effectués par le client]]="","",IF(M35=0,"Payé","Pas encore payé"))</f>
        <v/>
      </c>
      <c r="O35" s="11"/>
      <c r="P35" s="65"/>
      <c r="Q35" s="12"/>
      <c r="R35" s="70"/>
      <c r="S35" s="15"/>
      <c r="T35" s="15"/>
      <c r="U35" s="15"/>
      <c r="V35" s="15"/>
      <c r="W35" s="15"/>
    </row>
    <row r="36" ht="20.25" spans="1:23">
      <c r="A36" s="5"/>
      <c r="B36" s="11"/>
      <c r="C36" s="11"/>
      <c r="D36" s="11"/>
      <c r="E36" s="12"/>
      <c r="F36" s="60"/>
      <c r="G36" s="14"/>
      <c r="H36" s="14"/>
      <c r="I36" s="21"/>
      <c r="J36" s="21"/>
      <c r="K36" s="21" t="str">
        <f>IF(Tableau2[[#This Row],[Montant TTC]]=""," ",Tableau2[[#This Row],[Montant TTC]]*0.01)</f>
        <v> </v>
      </c>
      <c r="L36" s="25"/>
      <c r="M36" s="21"/>
      <c r="N36" s="23" t="str">
        <f>IF(Tableau2[[#This Row],[Versements effectués par le client]]="","",IF(M36=0,"Payé","Pas encore payé"))</f>
        <v/>
      </c>
      <c r="O36" s="11"/>
      <c r="P36" s="65"/>
      <c r="Q36" s="12"/>
      <c r="R36" s="70"/>
      <c r="S36" s="15"/>
      <c r="T36" s="15"/>
      <c r="U36" s="15"/>
      <c r="V36" s="15"/>
      <c r="W36" s="15"/>
    </row>
    <row r="37" ht="20.25" spans="1:23">
      <c r="A37" s="5"/>
      <c r="B37" s="11"/>
      <c r="C37" s="11"/>
      <c r="D37" s="11"/>
      <c r="E37" s="12"/>
      <c r="F37" s="60"/>
      <c r="G37" s="14"/>
      <c r="H37" s="14"/>
      <c r="I37" s="21"/>
      <c r="J37" s="21"/>
      <c r="K37" s="21" t="str">
        <f>IF(Tableau2[[#This Row],[Montant TTC]]=""," ",Tableau2[[#This Row],[Montant TTC]]*0.01)</f>
        <v> </v>
      </c>
      <c r="L37" s="25"/>
      <c r="M37" s="21"/>
      <c r="N37" s="23" t="str">
        <f>IF(Tableau2[[#This Row],[Versements effectués par le client]]="","",IF(M37=0,"Payé","Pas encore payé"))</f>
        <v/>
      </c>
      <c r="O37" s="11"/>
      <c r="P37" s="65"/>
      <c r="Q37" s="12"/>
      <c r="R37" s="70"/>
      <c r="S37" s="15"/>
      <c r="T37" s="15"/>
      <c r="U37" s="15"/>
      <c r="V37" s="15"/>
      <c r="W37" s="15"/>
    </row>
    <row r="38" ht="20.25" spans="1:23">
      <c r="A38" s="5"/>
      <c r="B38" s="11"/>
      <c r="C38" s="11"/>
      <c r="D38" s="11"/>
      <c r="E38" s="12"/>
      <c r="F38" s="60"/>
      <c r="G38" s="14"/>
      <c r="H38" s="14"/>
      <c r="I38" s="21"/>
      <c r="J38" s="21"/>
      <c r="K38" s="21" t="str">
        <f>IF(Tableau2[[#This Row],[Montant TTC]]=""," ",Tableau2[[#This Row],[Montant TTC]]*0.01)</f>
        <v> </v>
      </c>
      <c r="L38" s="25"/>
      <c r="M38" s="21"/>
      <c r="N38" s="23" t="str">
        <f>IF(Tableau2[[#This Row],[Versements effectués par le client]]="","",IF(M38=0,"Payé","Pas encore payé"))</f>
        <v/>
      </c>
      <c r="O38" s="11"/>
      <c r="P38" s="65"/>
      <c r="Q38" s="12"/>
      <c r="R38" s="70"/>
      <c r="S38" s="15"/>
      <c r="T38" s="15"/>
      <c r="U38" s="15"/>
      <c r="V38" s="15"/>
      <c r="W38" s="15"/>
    </row>
    <row r="39" ht="20.25" spans="1:23">
      <c r="A39" s="5"/>
      <c r="B39" s="11"/>
      <c r="C39" s="11"/>
      <c r="D39" s="11"/>
      <c r="E39" s="12"/>
      <c r="F39" s="60"/>
      <c r="G39" s="14"/>
      <c r="H39" s="14"/>
      <c r="I39" s="21"/>
      <c r="J39" s="21"/>
      <c r="K39" s="21" t="str">
        <f>IF(Tableau2[[#This Row],[Montant TTC]]=""," ",Tableau2[[#This Row],[Montant TTC]]*0.01)</f>
        <v> </v>
      </c>
      <c r="L39" s="25"/>
      <c r="M39" s="21"/>
      <c r="N39" s="23" t="str">
        <f>IF(Tableau2[[#This Row],[Versements effectués par le client]]="","",IF(M39=0,"Payé","Pas encore payé"))</f>
        <v/>
      </c>
      <c r="O39" s="11"/>
      <c r="P39" s="65"/>
      <c r="Q39" s="12"/>
      <c r="R39" s="70"/>
      <c r="S39" s="15"/>
      <c r="T39" s="15"/>
      <c r="U39" s="15"/>
      <c r="V39" s="15"/>
      <c r="W39" s="15"/>
    </row>
    <row r="40" ht="20.25" spans="1:23">
      <c r="A40" s="5"/>
      <c r="B40" s="11"/>
      <c r="C40" s="11"/>
      <c r="D40" s="11"/>
      <c r="E40" s="12"/>
      <c r="F40" s="60"/>
      <c r="G40" s="14"/>
      <c r="H40" s="14"/>
      <c r="I40" s="21" t="str">
        <f>IF(Tableau2[[#This Row],[Montant HT]]="","",IF(Tableau2[[#This Row],[Montant HT]]&gt;0,Tableau2[[#This Row],[Montant TTC]]-Tableau2[[#This Row],[Montant HT]]))</f>
        <v/>
      </c>
      <c r="J40" s="21" t="str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/>
      </c>
      <c r="K40" s="21" t="str">
        <f>IF(Tableau2[[#This Row],[Montant TTC]]=""," ",Tableau2[[#This Row],[Montant TTC]]*0.01)</f>
        <v> </v>
      </c>
      <c r="L40" s="25"/>
      <c r="M40" s="21" t="str">
        <f>IF(ISERROR(Tableau2[[#This Row],[Montant TTC]]-Tableau2[[#This Row],[Versements effectués par le client]]),"",Tableau2[[#This Row],[Montant TTC]]-Tableau2[[#This Row],[Versements effectués par le client]])</f>
        <v/>
      </c>
      <c r="N40" s="23" t="str">
        <f>IF(Tableau2[[#This Row],[Versements effectués par le client]]="","",IF(M40=0,"Payé","Pas encore payé"))</f>
        <v/>
      </c>
      <c r="O40" s="11"/>
      <c r="P40" s="65" t="str">
        <f>IF(Tableau2[[#This Row],[Date de facture]]="","",Tableau2[[#This Row],[Date de facture]]+Tableau2[[#This Row],[Délai de paiement accordé au client ]])</f>
        <v/>
      </c>
      <c r="Q40" s="12"/>
      <c r="R40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0</v>
      </c>
      <c r="S40" s="15"/>
      <c r="T40" s="15"/>
      <c r="U40" s="15"/>
      <c r="V40" s="15"/>
      <c r="W40" s="15"/>
    </row>
    <row r="41" ht="20.25" spans="2:23">
      <c r="B41" s="11"/>
      <c r="C41" s="11"/>
      <c r="D41" s="11"/>
      <c r="E41" s="12"/>
      <c r="F41" s="60"/>
      <c r="G41" s="14"/>
      <c r="H41" s="14"/>
      <c r="I41" s="21" t="str">
        <f>IF(Tableau2[[#This Row],[Montant HT]]="","",IF(Tableau2[[#This Row],[Montant HT]]&gt;0,Tableau2[[#This Row],[Montant TTC]]-Tableau2[[#This Row],[Montant HT]]))</f>
        <v/>
      </c>
      <c r="J41" s="21" t="str">
        <f>IF(Tableau2[[#This Row],[Montant HT]]="","",IF(Tableau2[[#This Row],[Montant HT]]&gt;0,IF(ISNUMBER(Tableau2[[#This Row],[Timbre]]),Tableau2[[#This Row],[Montant HT]]+(Tableau2[[#This Row],[Montant HT]]*Tableau2[[#This Row],[Taux de TVA]])+Tableau2[[#This Row],[Timbre]],Tableau2[[#This Row],[Montant HT]]+(Tableau2[[#This Row],[Montant HT]]*Tableau2[[#This Row],[Taux de TVA]])),0))</f>
        <v/>
      </c>
      <c r="K41" s="21" t="str">
        <f>IF(Tableau2[[#This Row],[Montant TTC]]=""," ",Tableau2[[#This Row],[Montant TTC]]*0.01)</f>
        <v> </v>
      </c>
      <c r="L41" s="25"/>
      <c r="M41" s="21" t="str">
        <f>IF(ISERROR(Tableau2[[#This Row],[Montant TTC]]-Tableau2[[#This Row],[Versements effectués par le client]]),"",Tableau2[[#This Row],[Montant TTC]]-Tableau2[[#This Row],[Versements effectués par le client]])</f>
        <v/>
      </c>
      <c r="N41" s="23" t="str">
        <f>IF(Tableau2[[#This Row],[Versements effectués par le client]]="","",IF(M41=0,"Payé","Pas encore payé"))</f>
        <v/>
      </c>
      <c r="O41" s="11"/>
      <c r="P41" s="65" t="str">
        <f>IF(Tableau2[[#This Row],[Date de facture]]="","",Tableau2[[#This Row],[Date de facture]]+Tableau2[[#This Row],[Délai de paiement accordé au client ]])</f>
        <v/>
      </c>
      <c r="Q41" s="12"/>
      <c r="R41" s="70">
        <f ca="1">IF(ISBLANK(Tableau2[[#This Row],[Date de facture]]),0,IF(ISBLANK(Tableau2[[#This Row],[Date de paiement total de la facture ]]),$C$4-(Tableau2[[#This Row],[Date de facture]]+Tableau2[[#This Row],[Délai de paiement accordé au client ]]),""))</f>
        <v>0</v>
      </c>
      <c r="S41" s="15"/>
      <c r="T41" s="15"/>
      <c r="U41" s="15"/>
      <c r="V41" s="15"/>
      <c r="W41" s="15"/>
    </row>
    <row r="42" ht="21" spans="2:23">
      <c r="B42" s="61"/>
      <c r="C42" s="61"/>
      <c r="D42" s="61"/>
      <c r="E42" s="62"/>
      <c r="F42" s="63"/>
      <c r="G42" s="64"/>
      <c r="H42" s="15"/>
      <c r="I42" s="67"/>
      <c r="J42" s="67"/>
      <c r="K42" s="21" t="str">
        <f>IF(Tableau2[[#This Row],[Montant TTC]]=""," ",Tableau2[[#This Row],[Montant TTC]]*0.01)</f>
        <v> </v>
      </c>
      <c r="L42" s="68"/>
      <c r="M42" s="67"/>
      <c r="N42" s="23" t="str">
        <f>IF(Tableau2[[#This Row],[Versements effectués par le client]]="","",IF(M42=0,"Payé","Pas encore payé"))</f>
        <v/>
      </c>
      <c r="O42" s="61"/>
      <c r="P42" s="65" t="str">
        <f>IF(Tableau2[[#This Row],[Date de facture]]="","",Tableau2[[#This Row],[Date de facture]]+Tableau2[[#This Row],[Délai de paiement accordé au client ]])</f>
        <v/>
      </c>
      <c r="Q42" s="71"/>
      <c r="R42" s="72">
        <f ca="1">IF(ISBLANK(Tableau2[[#This Row],[Date de facture]]),0,IF(ISBLANK(Tableau2[[#This Row],[Date de paiement total de la facture ]]),$C$4-(Tableau2[[#This Row],[Date de facture]]+Tableau2[[#This Row],[Délai de paiement accordé au client ]]),""))</f>
        <v>0</v>
      </c>
      <c r="S42" s="71"/>
      <c r="T42" s="71"/>
      <c r="U42" s="71"/>
      <c r="V42" s="71"/>
      <c r="W42" s="71"/>
    </row>
    <row r="43" s="1" customFormat="1" ht="19.5" customHeight="1" spans="2:23">
      <c r="B43" s="39"/>
      <c r="C43" s="40"/>
      <c r="D43" s="41"/>
      <c r="E43" s="42"/>
      <c r="F43" s="43">
        <f>SUBTOTAL(109,Tableau2[Montant HT])</f>
        <v>137692.82</v>
      </c>
      <c r="G43" s="44"/>
      <c r="H43" s="44"/>
      <c r="I43" s="43">
        <f>SUBTOTAL(109,Tableau2[Montant de la TVA])</f>
        <v>25697.7258</v>
      </c>
      <c r="J43" s="43">
        <f>SUBTOTAL(109,Tableau2[Montant TTC])</f>
        <v>163390.5458</v>
      </c>
      <c r="K43" s="43"/>
      <c r="L43" s="43">
        <f>SUBTOTAL(109,Tableau2[Versements effectués par le client])</f>
        <v>141469.46154</v>
      </c>
      <c r="M43" s="43">
        <f>SUBTOTAL(109,Tableau2[Reste dû])</f>
        <v>21861.62376</v>
      </c>
      <c r="N43" s="50"/>
      <c r="O43" s="69">
        <f>AVERAGE(Tableau2[Délai de paiement accordé au client ])</f>
        <v>20</v>
      </c>
      <c r="P43" s="51"/>
      <c r="Q43" s="51"/>
      <c r="R43" s="73">
        <f ca="1">AVERAGE(Tableau2[Retard de paiement (en jours) ])</f>
        <v>470.172413793103</v>
      </c>
      <c r="S43" s="56"/>
      <c r="T43" s="56"/>
      <c r="U43" s="56"/>
      <c r="V43" s="56"/>
      <c r="W43" s="57"/>
    </row>
    <row r="44" ht="30" spans="5:18">
      <c r="E44" s="45" t="s">
        <v>88</v>
      </c>
      <c r="F44" s="52" t="s">
        <v>89</v>
      </c>
      <c r="I44" s="53" t="s">
        <v>90</v>
      </c>
      <c r="J44" s="53" t="s">
        <v>91</v>
      </c>
      <c r="K44" s="53"/>
      <c r="L44" s="52" t="s">
        <v>92</v>
      </c>
      <c r="M44" s="53" t="s">
        <v>93</v>
      </c>
      <c r="N44" s="54"/>
      <c r="O44" s="54" t="s">
        <v>94</v>
      </c>
      <c r="P44" s="55"/>
      <c r="Q44" s="55"/>
      <c r="R44" s="54" t="s">
        <v>95</v>
      </c>
    </row>
  </sheetData>
  <conditionalFormatting sqref="R7:R42">
    <cfRule type="cellIs" dxfId="9" priority="2" operator="lessThan">
      <formula>0</formula>
    </cfRule>
    <cfRule type="cellIs" dxfId="10" priority="3" operator="greaterThan">
      <formula>0</formula>
    </cfRule>
  </conditionalFormatting>
  <dataValidations count="2">
    <dataValidation type="custom" allowBlank="1" showInputMessage="1" showErrorMessage="1" errorTitle="Doublon" error="“Vous avez déjà saisie cette facture”" sqref="D7:D14 D16:D42">
      <formula1>COUNTIF($D$7:$D$526,$D7)=1</formula1>
    </dataValidation>
    <dataValidation type="list" allowBlank="1" showInputMessage="1" showErrorMessage="1" sqref="S7:S42">
      <formula1>"Chèque, Virement, Espèces, Autres "</formula1>
    </dataValidation>
  </dataValidations>
  <pageMargins left="0.511811023622047" right="0.511811023622047" top="0.748031496062992" bottom="0.748031496062992" header="0.31496062992126" footer="0.31496062992126"/>
  <pageSetup paperSize="9" scale="32" orientation="landscape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3">
    <pageSetUpPr fitToPage="1"/>
  </sheetPr>
  <dimension ref="A3:V95"/>
  <sheetViews>
    <sheetView zoomScale="80" zoomScaleNormal="80" topLeftCell="A4" workbookViewId="0">
      <selection activeCell="E20" sqref="E20"/>
    </sheetView>
  </sheetViews>
  <sheetFormatPr defaultColWidth="11.4285714285714" defaultRowHeight="15"/>
  <cols>
    <col min="1" max="1" width="29.2857142857143" style="2" customWidth="1"/>
    <col min="2" max="2" width="28.4285714285714" style="2" customWidth="1"/>
    <col min="3" max="3" width="22.2857142857143" style="2" customWidth="1"/>
    <col min="4" max="4" width="17.8571428571429" style="2" customWidth="1"/>
    <col min="5" max="5" width="14.5714285714286" style="2" customWidth="1"/>
    <col min="6" max="6" width="25.7142857142857" style="3" customWidth="1"/>
    <col min="7" max="7" width="9.42857142857143" style="2" customWidth="1"/>
    <col min="8" max="8" width="13" style="2" customWidth="1"/>
    <col min="9" max="9" width="23.1428571428571" style="2" customWidth="1"/>
    <col min="10" max="10" width="14.8571428571429" style="2" customWidth="1"/>
    <col min="11" max="11" width="26.1428571428571" style="2" customWidth="1"/>
    <col min="12" max="12" width="16" style="2" customWidth="1"/>
    <col min="13" max="13" width="28" style="4" customWidth="1"/>
    <col min="14" max="14" width="26" style="2" customWidth="1"/>
    <col min="15" max="15" width="26.4285714285714" style="2" customWidth="1"/>
    <col min="16" max="16" width="22.5714285714286" style="2" customWidth="1"/>
    <col min="17" max="17" width="21.5714285714286" style="2" customWidth="1"/>
    <col min="18" max="18" width="17.1428571428571" style="2" customWidth="1"/>
    <col min="19" max="19" width="15.2857142857143" style="2" customWidth="1"/>
    <col min="20" max="20" width="15.5714285714286" style="2" customWidth="1"/>
    <col min="21" max="21" width="43.7142857142857" style="2" customWidth="1"/>
    <col min="22" max="16384" width="11.4285714285714" style="2"/>
  </cols>
  <sheetData>
    <row r="3" spans="1:1">
      <c r="A3" s="5"/>
    </row>
    <row r="4" ht="18.75" spans="1:3">
      <c r="A4" s="5"/>
      <c r="B4" s="6" t="s">
        <v>15</v>
      </c>
      <c r="C4" s="7">
        <f ca="1">TODAY()</f>
        <v>46082</v>
      </c>
    </row>
    <row r="5" customHeight="1" spans="1:1">
      <c r="A5" s="5"/>
    </row>
    <row r="6" ht="49.5" customHeight="1" spans="1:22">
      <c r="A6" s="5"/>
      <c r="B6" s="8" t="s">
        <v>16</v>
      </c>
      <c r="C6" s="8" t="s">
        <v>96</v>
      </c>
      <c r="D6" s="8" t="s">
        <v>18</v>
      </c>
      <c r="E6" s="8" t="s">
        <v>19</v>
      </c>
      <c r="F6" s="9" t="s">
        <v>20</v>
      </c>
      <c r="G6" s="8" t="s">
        <v>21</v>
      </c>
      <c r="H6" s="8" t="s">
        <v>22</v>
      </c>
      <c r="I6" s="8" t="s">
        <v>23</v>
      </c>
      <c r="J6" s="8" t="s">
        <v>97</v>
      </c>
      <c r="K6" s="8" t="s">
        <v>24</v>
      </c>
      <c r="L6" s="8" t="s">
        <v>98</v>
      </c>
      <c r="M6" s="20" t="s">
        <v>99</v>
      </c>
      <c r="N6" s="8" t="s">
        <v>27</v>
      </c>
      <c r="O6" s="8" t="s">
        <v>28</v>
      </c>
      <c r="P6" s="8" t="s">
        <v>31</v>
      </c>
      <c r="Q6" s="8" t="s">
        <v>33</v>
      </c>
      <c r="R6" s="8" t="s">
        <v>34</v>
      </c>
      <c r="S6" s="8" t="s">
        <v>35</v>
      </c>
      <c r="T6" s="8" t="s">
        <v>36</v>
      </c>
      <c r="U6" s="8" t="s">
        <v>37</v>
      </c>
      <c r="V6" s="34"/>
    </row>
    <row r="7" ht="15.75" spans="1:21">
      <c r="A7" s="10"/>
      <c r="B7" s="11" t="s">
        <v>100</v>
      </c>
      <c r="C7" s="11" t="s">
        <v>100</v>
      </c>
      <c r="D7" s="11" t="s">
        <v>101</v>
      </c>
      <c r="E7" s="12">
        <v>45022</v>
      </c>
      <c r="F7" s="13">
        <v>500.5</v>
      </c>
      <c r="G7" s="14">
        <v>0.19</v>
      </c>
      <c r="H7" s="15">
        <v>1</v>
      </c>
      <c r="I7" s="21">
        <f>IF(Tableau22[[#This Row],[Montant HT]]="","",IF(Tableau22[[#This Row],[Montant HT]]&gt;0,Tableau22[[#This Row],[Montant TTC]]-Tableau22[[#This Row],[Montant HT]]))</f>
        <v>96.095</v>
      </c>
      <c r="J7" s="21">
        <f>Tableau22[[#This Row],[Montant HT]]*0.01</f>
        <v>5.005</v>
      </c>
      <c r="K7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596.595</v>
      </c>
      <c r="L7" s="21">
        <f>(Tableau22[[#This Row],[Montant HT]]+Tableau22[[#This Row],[Montant de la TVA]])*0.01</f>
        <v>5.96595</v>
      </c>
      <c r="M7" s="22">
        <v>596.595</v>
      </c>
      <c r="N7" s="21">
        <f>Tableau22[[#This Row],[Montant TTC]]-Tableau22[[#This Row],[Versements effectués par SOUGUI]]</f>
        <v>0</v>
      </c>
      <c r="O7" s="23" t="str">
        <f t="shared" ref="O7:O31" si="0">IF(N7=0,"Payé","Pas encore payé")</f>
        <v>Payé</v>
      </c>
      <c r="P7" s="12">
        <f>Tableau22[[#This Row],[Date de facture]]</f>
        <v>45022</v>
      </c>
      <c r="Q7" s="15" t="s">
        <v>69</v>
      </c>
      <c r="R7" s="35"/>
      <c r="S7" s="35"/>
      <c r="T7" s="15"/>
      <c r="U7" s="15" t="s">
        <v>102</v>
      </c>
    </row>
    <row r="8" ht="15.75" spans="1:21">
      <c r="A8" s="10"/>
      <c r="B8" s="11" t="s">
        <v>100</v>
      </c>
      <c r="C8" s="11" t="s">
        <v>100</v>
      </c>
      <c r="D8" s="11" t="s">
        <v>103</v>
      </c>
      <c r="E8" s="12">
        <v>45087</v>
      </c>
      <c r="F8" s="13">
        <v>812.4</v>
      </c>
      <c r="G8" s="14">
        <v>0.19</v>
      </c>
      <c r="H8" s="15">
        <v>1</v>
      </c>
      <c r="I8" s="21">
        <f>IF(Tableau22[[#This Row],[Montant HT]]="","",IF(Tableau22[[#This Row],[Montant HT]]&gt;0,Tableau22[[#This Row],[Montant TTC]]-Tableau22[[#This Row],[Montant HT]]))</f>
        <v>155.356</v>
      </c>
      <c r="J8" s="21">
        <f>Tableau22[[#This Row],[Montant HT]]*0.01</f>
        <v>8.124</v>
      </c>
      <c r="K8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967.756</v>
      </c>
      <c r="L8" s="21">
        <f>(Tableau22[[#This Row],[Montant HT]]+Tableau22[[#This Row],[Montant de la TVA]])*0.01</f>
        <v>9.67756</v>
      </c>
      <c r="M8" s="22">
        <v>967.756</v>
      </c>
      <c r="N8" s="21">
        <f>Tableau22[[#This Row],[Montant TTC]]-Tableau22[[#This Row],[Versements effectués par SOUGUI]]</f>
        <v>0</v>
      </c>
      <c r="O8" s="23" t="str">
        <f t="shared" si="0"/>
        <v>Payé</v>
      </c>
      <c r="P8" s="12">
        <f>Tableau22[[#This Row],[Date de facture]]</f>
        <v>45087</v>
      </c>
      <c r="Q8" s="15" t="s">
        <v>69</v>
      </c>
      <c r="R8" s="35"/>
      <c r="S8" s="35"/>
      <c r="T8" s="15"/>
      <c r="U8" s="15" t="s">
        <v>102</v>
      </c>
    </row>
    <row r="9" ht="15.75" spans="1:21">
      <c r="A9" s="10"/>
      <c r="B9" s="11" t="s">
        <v>100</v>
      </c>
      <c r="C9" s="11" t="s">
        <v>100</v>
      </c>
      <c r="D9" s="11" t="s">
        <v>104</v>
      </c>
      <c r="E9" s="12">
        <v>45119</v>
      </c>
      <c r="F9" s="13">
        <v>799.385</v>
      </c>
      <c r="G9" s="14">
        <v>0.19</v>
      </c>
      <c r="H9" s="15">
        <v>1</v>
      </c>
      <c r="I9" s="21">
        <f>IF(Tableau22[[#This Row],[Montant HT]]="","",IF(Tableau22[[#This Row],[Montant HT]]&gt;0,Tableau22[[#This Row],[Montant TTC]]-Tableau22[[#This Row],[Montant HT]]))</f>
        <v>152.88315</v>
      </c>
      <c r="J9" s="21">
        <f>Tableau22[[#This Row],[Montant HT]]*0.01</f>
        <v>7.99385</v>
      </c>
      <c r="K9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952.26815</v>
      </c>
      <c r="L9" s="21">
        <f>(Tableau22[[#This Row],[Montant HT]]+Tableau22[[#This Row],[Montant de la TVA]])*0.01</f>
        <v>9.5226815</v>
      </c>
      <c r="M9" s="22">
        <v>952.26815</v>
      </c>
      <c r="N9" s="21">
        <f>Tableau22[[#This Row],[Montant TTC]]-Tableau22[[#This Row],[Versements effectués par SOUGUI]]</f>
        <v>0</v>
      </c>
      <c r="O9" s="23" t="str">
        <f t="shared" si="0"/>
        <v>Payé</v>
      </c>
      <c r="P9" s="12">
        <f>Tableau22[[#This Row],[Date de facture]]</f>
        <v>45119</v>
      </c>
      <c r="Q9" s="15" t="s">
        <v>69</v>
      </c>
      <c r="R9" s="35"/>
      <c r="S9" s="35"/>
      <c r="T9" s="15"/>
      <c r="U9" s="15" t="s">
        <v>102</v>
      </c>
    </row>
    <row r="10" ht="15.75" spans="1:21">
      <c r="A10" s="10"/>
      <c r="B10" s="11" t="s">
        <v>100</v>
      </c>
      <c r="C10" s="11" t="s">
        <v>100</v>
      </c>
      <c r="D10" s="11" t="s">
        <v>105</v>
      </c>
      <c r="E10" s="12">
        <v>45141</v>
      </c>
      <c r="F10" s="13">
        <v>666.112</v>
      </c>
      <c r="G10" s="14">
        <v>0.19</v>
      </c>
      <c r="H10" s="15">
        <v>1</v>
      </c>
      <c r="I10" s="21">
        <f>IF(Tableau22[[#This Row],[Montant HT]]="","",IF(Tableau22[[#This Row],[Montant HT]]&gt;0,Tableau22[[#This Row],[Montant TTC]]-Tableau22[[#This Row],[Montant HT]]))</f>
        <v>127.56128</v>
      </c>
      <c r="J10" s="21">
        <f>Tableau22[[#This Row],[Montant HT]]*0.01</f>
        <v>6.66112</v>
      </c>
      <c r="K10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793.67328</v>
      </c>
      <c r="L10" s="21">
        <f>(Tableau22[[#This Row],[Montant HT]]+Tableau22[[#This Row],[Montant de la TVA]])*0.01</f>
        <v>7.9367328</v>
      </c>
      <c r="M10" s="22">
        <v>793.67328</v>
      </c>
      <c r="N10" s="21">
        <f>Tableau22[[#This Row],[Montant TTC]]-Tableau22[[#This Row],[Versements effectués par SOUGUI]]</f>
        <v>0</v>
      </c>
      <c r="O10" s="23" t="str">
        <f t="shared" si="0"/>
        <v>Payé</v>
      </c>
      <c r="P10" s="12">
        <f>Tableau22[[#This Row],[Date de facture]]</f>
        <v>45141</v>
      </c>
      <c r="Q10" s="15" t="s">
        <v>69</v>
      </c>
      <c r="R10" s="35"/>
      <c r="S10" s="35"/>
      <c r="T10" s="15"/>
      <c r="U10" s="15" t="s">
        <v>102</v>
      </c>
    </row>
    <row r="11" ht="15.75" spans="1:21">
      <c r="A11" s="10"/>
      <c r="B11" s="11" t="s">
        <v>100</v>
      </c>
      <c r="C11" s="11" t="s">
        <v>100</v>
      </c>
      <c r="D11" s="11" t="s">
        <v>106</v>
      </c>
      <c r="E11" s="12">
        <v>45193</v>
      </c>
      <c r="F11" s="13">
        <v>616</v>
      </c>
      <c r="G11" s="14">
        <v>0.19</v>
      </c>
      <c r="H11" s="15">
        <v>1</v>
      </c>
      <c r="I11" s="21">
        <f>IF(Tableau22[[#This Row],[Montant HT]]="","",IF(Tableau22[[#This Row],[Montant HT]]&gt;0,Tableau22[[#This Row],[Montant TTC]]-Tableau22[[#This Row],[Montant HT]]))</f>
        <v>118.04</v>
      </c>
      <c r="J11" s="21">
        <f>Tableau22[[#This Row],[Montant HT]]*0.01</f>
        <v>6.16</v>
      </c>
      <c r="K11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734.04</v>
      </c>
      <c r="L11" s="21">
        <f>(Tableau22[[#This Row],[Montant HT]]+Tableau22[[#This Row],[Montant de la TVA]])*0.01</f>
        <v>7.3404</v>
      </c>
      <c r="M11" s="22">
        <v>734.04</v>
      </c>
      <c r="N11" s="21">
        <f>Tableau22[[#This Row],[Montant TTC]]-Tableau22[[#This Row],[Versements effectués par SOUGUI]]</f>
        <v>0</v>
      </c>
      <c r="O11" s="23" t="str">
        <f t="shared" si="0"/>
        <v>Payé</v>
      </c>
      <c r="P11" s="12">
        <f>Tableau22[[#This Row],[Date de facture]]</f>
        <v>45193</v>
      </c>
      <c r="Q11" s="15" t="s">
        <v>69</v>
      </c>
      <c r="R11" s="35"/>
      <c r="S11" s="35"/>
      <c r="T11" s="15"/>
      <c r="U11" s="15" t="s">
        <v>102</v>
      </c>
    </row>
    <row r="12" spans="1:21">
      <c r="A12" s="5"/>
      <c r="B12" s="11" t="s">
        <v>100</v>
      </c>
      <c r="C12" s="11" t="s">
        <v>100</v>
      </c>
      <c r="D12" s="11" t="s">
        <v>107</v>
      </c>
      <c r="E12" s="12">
        <v>45210</v>
      </c>
      <c r="F12" s="13">
        <v>663.444</v>
      </c>
      <c r="G12" s="14">
        <v>0.19</v>
      </c>
      <c r="H12" s="15">
        <v>1</v>
      </c>
      <c r="I12" s="21">
        <f>IF(Tableau22[[#This Row],[Montant HT]]="","",IF(Tableau22[[#This Row],[Montant HT]]&gt;0,Tableau22[[#This Row],[Montant TTC]]-Tableau22[[#This Row],[Montant HT]]))</f>
        <v>127.05436</v>
      </c>
      <c r="J12" s="21">
        <f>Tableau22[[#This Row],[Montant HT]]*0.01</f>
        <v>6.63444</v>
      </c>
      <c r="K12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790.49836</v>
      </c>
      <c r="L12" s="21">
        <f>(Tableau22[[#This Row],[Montant HT]]+Tableau22[[#This Row],[Montant de la TVA]])*0.01</f>
        <v>7.9049836</v>
      </c>
      <c r="M12" s="22">
        <v>790.49836</v>
      </c>
      <c r="N12" s="21">
        <f>Tableau22[[#This Row],[Montant TTC]]-Tableau22[[#This Row],[Versements effectués par SOUGUI]]</f>
        <v>0</v>
      </c>
      <c r="O12" s="23" t="str">
        <f t="shared" si="0"/>
        <v>Payé</v>
      </c>
      <c r="P12" s="12">
        <f>Tableau22[[#This Row],[Date de facture]]</f>
        <v>45210</v>
      </c>
      <c r="Q12" s="15" t="s">
        <v>69</v>
      </c>
      <c r="R12" s="35"/>
      <c r="S12" s="35"/>
      <c r="T12" s="15"/>
      <c r="U12" s="15" t="s">
        <v>102</v>
      </c>
    </row>
    <row r="13" spans="1:21">
      <c r="A13" s="5"/>
      <c r="B13" s="11" t="s">
        <v>108</v>
      </c>
      <c r="C13" s="11" t="s">
        <v>109</v>
      </c>
      <c r="D13" s="11" t="s">
        <v>110</v>
      </c>
      <c r="E13" s="12">
        <v>45251</v>
      </c>
      <c r="F13" s="13">
        <v>1081.75</v>
      </c>
      <c r="G13" s="14">
        <v>0.19</v>
      </c>
      <c r="H13" s="15">
        <v>1</v>
      </c>
      <c r="I13" s="21">
        <f>IF(Tableau22[[#This Row],[Montant HT]]="","",IF(Tableau22[[#This Row],[Montant HT]]&gt;0,Tableau22[[#This Row],[Montant TTC]]-Tableau22[[#This Row],[Montant HT]]))</f>
        <v>206.5325</v>
      </c>
      <c r="J13" s="21">
        <f>Tableau22[[#This Row],[Montant HT]]*0.01</f>
        <v>10.8175</v>
      </c>
      <c r="K13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1288.2825</v>
      </c>
      <c r="L13" s="21">
        <f>(Tableau22[[#This Row],[Montant HT]]+Tableau22[[#This Row],[Montant de la TVA]])*0.01</f>
        <v>12.882825</v>
      </c>
      <c r="M13" s="22">
        <v>1288.2825</v>
      </c>
      <c r="N13" s="21">
        <f>Tableau22[[#This Row],[Montant TTC]]-Tableau22[[#This Row],[Versements effectués par SOUGUI]]</f>
        <v>0</v>
      </c>
      <c r="O13" s="23" t="str">
        <f t="shared" si="0"/>
        <v>Payé</v>
      </c>
      <c r="P13" s="12">
        <f>Tableau22[[#This Row],[Date de facture]]</f>
        <v>45251</v>
      </c>
      <c r="Q13" s="15" t="s">
        <v>69</v>
      </c>
      <c r="R13" s="35"/>
      <c r="S13" s="35"/>
      <c r="T13" s="15"/>
      <c r="U13" s="15" t="s">
        <v>111</v>
      </c>
    </row>
    <row r="14" spans="1:21">
      <c r="A14" s="5"/>
      <c r="B14" s="11" t="s">
        <v>100</v>
      </c>
      <c r="C14" s="11" t="s">
        <v>100</v>
      </c>
      <c r="D14" s="11" t="s">
        <v>112</v>
      </c>
      <c r="E14" s="12">
        <v>45251</v>
      </c>
      <c r="F14" s="13">
        <v>462.216</v>
      </c>
      <c r="G14" s="14">
        <v>0.19</v>
      </c>
      <c r="H14" s="15">
        <v>1</v>
      </c>
      <c r="I14" s="21">
        <f>IF(Tableau22[[#This Row],[Montant HT]]="","",IF(Tableau22[[#This Row],[Montant HT]]&gt;0,Tableau22[[#This Row],[Montant TTC]]-Tableau22[[#This Row],[Montant HT]]))</f>
        <v>88.82104</v>
      </c>
      <c r="J14" s="21">
        <f>Tableau22[[#This Row],[Montant HT]]*0.01</f>
        <v>4.62216</v>
      </c>
      <c r="K14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551.03704</v>
      </c>
      <c r="L14" s="21">
        <f>(Tableau22[[#This Row],[Montant HT]]+Tableau22[[#This Row],[Montant de la TVA]])*0.01</f>
        <v>5.5103704</v>
      </c>
      <c r="M14" s="22">
        <v>551.03704</v>
      </c>
      <c r="N14" s="21">
        <f>Tableau22[[#This Row],[Montant TTC]]-Tableau22[[#This Row],[Versements effectués par SOUGUI]]</f>
        <v>0</v>
      </c>
      <c r="O14" s="23" t="str">
        <f t="shared" si="0"/>
        <v>Payé</v>
      </c>
      <c r="P14" s="12">
        <f>Tableau22[[#This Row],[Date de facture]]</f>
        <v>45251</v>
      </c>
      <c r="Q14" s="15" t="s">
        <v>69</v>
      </c>
      <c r="R14" s="35"/>
      <c r="S14" s="35"/>
      <c r="T14" s="15"/>
      <c r="U14" s="15" t="s">
        <v>102</v>
      </c>
    </row>
    <row r="15" spans="1:21">
      <c r="A15" s="5"/>
      <c r="B15" s="11" t="s">
        <v>113</v>
      </c>
      <c r="C15" s="11" t="s">
        <v>114</v>
      </c>
      <c r="D15" s="11">
        <v>292</v>
      </c>
      <c r="E15" s="12">
        <v>45266</v>
      </c>
      <c r="F15" s="13">
        <v>934.58</v>
      </c>
      <c r="G15" s="14">
        <v>0.07</v>
      </c>
      <c r="H15" s="15"/>
      <c r="I15" s="21">
        <f>IF(Tableau22[[#This Row],[Montant HT]]="","",IF(Tableau22[[#This Row],[Montant HT]]&gt;0,Tableau22[[#This Row],[Montant TTC]]-Tableau22[[#This Row],[Montant HT]]))</f>
        <v>65.4206</v>
      </c>
      <c r="J15" s="21">
        <f>Tableau22[[#This Row],[Montant HT]]*0.01</f>
        <v>9.3458</v>
      </c>
      <c r="K15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1000.0006</v>
      </c>
      <c r="L15" s="21">
        <f>(Tableau22[[#This Row],[Montant HT]]+Tableau22[[#This Row],[Montant de la TVA]])*0.01</f>
        <v>10.000006</v>
      </c>
      <c r="M15" s="22">
        <v>1000.0006</v>
      </c>
      <c r="N15" s="21">
        <f>Tableau22[[#This Row],[Montant TTC]]-Tableau22[[#This Row],[Versements effectués par SOUGUI]]</f>
        <v>0</v>
      </c>
      <c r="O15" s="23" t="str">
        <f t="shared" si="0"/>
        <v>Payé</v>
      </c>
      <c r="P15" s="12">
        <v>45266</v>
      </c>
      <c r="Q15" s="15" t="s">
        <v>69</v>
      </c>
      <c r="R15" s="35"/>
      <c r="S15" s="35"/>
      <c r="T15" s="15"/>
      <c r="U15" s="15" t="s">
        <v>115</v>
      </c>
    </row>
    <row r="16" spans="1:21">
      <c r="A16" s="5"/>
      <c r="B16" s="11" t="s">
        <v>116</v>
      </c>
      <c r="C16" s="11" t="s">
        <v>116</v>
      </c>
      <c r="D16" s="11" t="s">
        <v>117</v>
      </c>
      <c r="E16" s="12">
        <v>45266</v>
      </c>
      <c r="F16" s="13">
        <v>420.551</v>
      </c>
      <c r="G16" s="14">
        <v>0.07</v>
      </c>
      <c r="H16" s="15"/>
      <c r="I16" s="21">
        <f>IF(Tableau22[[#This Row],[Montant HT]]="","",IF(Tableau22[[#This Row],[Montant HT]]&gt;0,Tableau22[[#This Row],[Montant TTC]]-Tableau22[[#This Row],[Montant HT]]))</f>
        <v>29.43857</v>
      </c>
      <c r="J16" s="21">
        <f>Tableau22[[#This Row],[Montant HT]]*0.01</f>
        <v>4.20551</v>
      </c>
      <c r="K16" s="24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449.98957</v>
      </c>
      <c r="L16" s="24">
        <f>(Tableau22[[#This Row],[Montant HT]]+Tableau22[[#This Row],[Montant de la TVA]])*0.01</f>
        <v>4.4998957</v>
      </c>
      <c r="M16" s="25">
        <v>449.98957</v>
      </c>
      <c r="N16" s="21">
        <f>Tableau22[[#This Row],[Montant TTC]]-Tableau22[[#This Row],[Versements effectués par SOUGUI]]</f>
        <v>0</v>
      </c>
      <c r="O16" s="23" t="str">
        <f t="shared" si="0"/>
        <v>Payé</v>
      </c>
      <c r="P16" s="12">
        <v>45266</v>
      </c>
      <c r="Q16" s="15" t="s">
        <v>69</v>
      </c>
      <c r="R16" s="35"/>
      <c r="S16" s="35"/>
      <c r="T16" s="15"/>
      <c r="U16" s="15" t="s">
        <v>118</v>
      </c>
    </row>
    <row r="17" spans="1:21">
      <c r="A17" s="5"/>
      <c r="B17" s="11" t="s">
        <v>119</v>
      </c>
      <c r="C17" s="11" t="s">
        <v>119</v>
      </c>
      <c r="D17" s="11" t="s">
        <v>120</v>
      </c>
      <c r="E17" s="12">
        <v>45275</v>
      </c>
      <c r="F17" s="13">
        <v>762</v>
      </c>
      <c r="G17" s="14">
        <v>0.19</v>
      </c>
      <c r="H17" s="15">
        <v>1</v>
      </c>
      <c r="I17" s="21">
        <f>IF(Tableau22[[#This Row],[Montant HT]]="","",IF(Tableau22[[#This Row],[Montant HT]]&gt;0,Tableau22[[#This Row],[Montant TTC]]-Tableau22[[#This Row],[Montant HT]]))</f>
        <v>145.78</v>
      </c>
      <c r="J17" s="21">
        <f>Tableau22[[#This Row],[Montant HT]]*0.01</f>
        <v>7.62</v>
      </c>
      <c r="K17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907.78</v>
      </c>
      <c r="L17" s="21">
        <f>(Tableau22[[#This Row],[Montant HT]]+Tableau22[[#This Row],[Montant de la TVA]])*0.01</f>
        <v>9.0778</v>
      </c>
      <c r="M17" s="22">
        <v>907.78</v>
      </c>
      <c r="N17" s="21">
        <f>Tableau22[[#This Row],[Montant TTC]]-Tableau22[[#This Row],[Versements effectués par SOUGUI]]</f>
        <v>0</v>
      </c>
      <c r="O17" s="23" t="str">
        <f t="shared" si="0"/>
        <v>Payé</v>
      </c>
      <c r="P17" s="12">
        <f>Tableau22[[#This Row],[Date de facture]]</f>
        <v>45275</v>
      </c>
      <c r="Q17" s="15" t="s">
        <v>47</v>
      </c>
      <c r="R17" s="35"/>
      <c r="S17" s="35"/>
      <c r="T17" s="15"/>
      <c r="U17" s="15" t="s">
        <v>121</v>
      </c>
    </row>
    <row r="18" spans="1:21">
      <c r="A18" s="5"/>
      <c r="B18" s="11" t="s">
        <v>122</v>
      </c>
      <c r="C18" s="11" t="s">
        <v>123</v>
      </c>
      <c r="D18" s="11" t="s">
        <v>124</v>
      </c>
      <c r="E18" s="12">
        <v>45278</v>
      </c>
      <c r="F18" s="13">
        <v>1690.2</v>
      </c>
      <c r="G18" s="14">
        <v>0.19</v>
      </c>
      <c r="H18" s="15">
        <v>1</v>
      </c>
      <c r="I18" s="21">
        <f>IF(Tableau22[[#This Row],[Montant HT]]="","",IF(Tableau22[[#This Row],[Montant HT]]&gt;0,Tableau22[[#This Row],[Montant TTC]]-Tableau22[[#This Row],[Montant HT]]))</f>
        <v>322.138</v>
      </c>
      <c r="J18" s="21">
        <f>Tableau22[[#This Row],[Montant HT]]*0.01</f>
        <v>16.902</v>
      </c>
      <c r="K18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2012.338</v>
      </c>
      <c r="L18" s="21">
        <f>(Tableau22[[#This Row],[Montant HT]]+Tableau22[[#This Row],[Montant de la TVA]])*0.01</f>
        <v>20.12338</v>
      </c>
      <c r="M18" s="22">
        <v>2012.338</v>
      </c>
      <c r="N18" s="21">
        <f>Tableau22[[#This Row],[Montant TTC]]-Tableau22[[#This Row],[Versements effectués par SOUGUI]]</f>
        <v>0</v>
      </c>
      <c r="O18" s="23" t="str">
        <f t="shared" si="0"/>
        <v>Payé</v>
      </c>
      <c r="P18" s="12">
        <f>Tableau22[[#This Row],[Date de facture]]</f>
        <v>45278</v>
      </c>
      <c r="Q18" s="15" t="s">
        <v>47</v>
      </c>
      <c r="R18" s="35"/>
      <c r="S18" s="35"/>
      <c r="T18" s="15"/>
      <c r="U18" s="15" t="s">
        <v>125</v>
      </c>
    </row>
    <row r="19" spans="1:21">
      <c r="A19" s="5"/>
      <c r="B19" s="11" t="s">
        <v>126</v>
      </c>
      <c r="C19" s="11" t="s">
        <v>126</v>
      </c>
      <c r="D19" s="11" t="s">
        <v>127</v>
      </c>
      <c r="E19" s="12">
        <v>45281</v>
      </c>
      <c r="F19" s="13">
        <v>1900</v>
      </c>
      <c r="G19" s="14">
        <v>0.07</v>
      </c>
      <c r="H19" s="15">
        <v>1</v>
      </c>
      <c r="I19" s="21">
        <f>IF(Tableau22[[#This Row],[Montant HT]]="","",IF(Tableau22[[#This Row],[Montant HT]]&gt;0,Tableau22[[#This Row],[Montant TTC]]-Tableau22[[#This Row],[Montant HT]]))</f>
        <v>134</v>
      </c>
      <c r="J19" s="21">
        <f>Tableau22[[#This Row],[Montant HT]]*0.01</f>
        <v>19</v>
      </c>
      <c r="K19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2034</v>
      </c>
      <c r="L19" s="21">
        <f>(Tableau22[[#This Row],[Montant HT]]+Tableau22[[#This Row],[Montant de la TVA]])*0.01</f>
        <v>20.34</v>
      </c>
      <c r="M19" s="22">
        <v>2034</v>
      </c>
      <c r="N19" s="21">
        <f>Tableau22[[#This Row],[Montant TTC]]-Tableau22[[#This Row],[Versements effectués par SOUGUI]]</f>
        <v>0</v>
      </c>
      <c r="O19" s="23" t="str">
        <f t="shared" si="0"/>
        <v>Payé</v>
      </c>
      <c r="P19" s="12">
        <f>Tableau22[[#This Row],[Date de facture]]</f>
        <v>45281</v>
      </c>
      <c r="Q19" s="15" t="s">
        <v>69</v>
      </c>
      <c r="R19" s="35"/>
      <c r="S19" s="35"/>
      <c r="T19" s="15"/>
      <c r="U19" s="15" t="s">
        <v>128</v>
      </c>
    </row>
    <row r="20" spans="1:21">
      <c r="A20" s="5"/>
      <c r="B20" s="11" t="s">
        <v>129</v>
      </c>
      <c r="C20" s="11" t="s">
        <v>129</v>
      </c>
      <c r="D20" s="11" t="s">
        <v>130</v>
      </c>
      <c r="E20" s="12">
        <v>45281</v>
      </c>
      <c r="F20" s="13">
        <v>1425</v>
      </c>
      <c r="G20" s="14">
        <v>0.07</v>
      </c>
      <c r="H20" s="15"/>
      <c r="I20" s="21">
        <f>IF(Tableau22[[#This Row],[Montant HT]]="","",IF(Tableau22[[#This Row],[Montant HT]]&gt;0,Tableau22[[#This Row],[Montant TTC]]-Tableau22[[#This Row],[Montant HT]]))</f>
        <v>99.75</v>
      </c>
      <c r="J20" s="21">
        <f>Tableau22[[#This Row],[Montant HT]]*0.01</f>
        <v>14.25</v>
      </c>
      <c r="K20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1524.75</v>
      </c>
      <c r="L20" s="21">
        <f>(Tableau22[[#This Row],[Montant HT]]+Tableau22[[#This Row],[Montant de la TVA]])*0.01</f>
        <v>15.2475</v>
      </c>
      <c r="M20" s="22">
        <v>1524.75</v>
      </c>
      <c r="N20" s="21">
        <f>Tableau22[[#This Row],[Montant TTC]]-Tableau22[[#This Row],[Versements effectués par SOUGUI]]</f>
        <v>0</v>
      </c>
      <c r="O20" s="23" t="str">
        <f t="shared" si="0"/>
        <v>Payé</v>
      </c>
      <c r="P20" s="12">
        <f>Tableau22[[#This Row],[Date de facture]]</f>
        <v>45281</v>
      </c>
      <c r="Q20" s="15" t="s">
        <v>69</v>
      </c>
      <c r="R20" s="35"/>
      <c r="S20" s="35"/>
      <c r="T20" s="15"/>
      <c r="U20" s="15" t="s">
        <v>128</v>
      </c>
    </row>
    <row r="21" spans="1:21">
      <c r="A21" s="5"/>
      <c r="B21" s="11" t="s">
        <v>108</v>
      </c>
      <c r="C21" s="11" t="s">
        <v>109</v>
      </c>
      <c r="D21" s="11" t="s">
        <v>131</v>
      </c>
      <c r="E21" s="12">
        <v>45281</v>
      </c>
      <c r="F21" s="13">
        <v>3640</v>
      </c>
      <c r="G21" s="14">
        <v>0.19</v>
      </c>
      <c r="H21" s="15">
        <v>1</v>
      </c>
      <c r="I21" s="21">
        <f>IF(Tableau22[[#This Row],[Montant HT]]="","",IF(Tableau22[[#This Row],[Montant HT]]&gt;0,Tableau22[[#This Row],[Montant TTC]]-Tableau22[[#This Row],[Montant HT]]))</f>
        <v>692.6</v>
      </c>
      <c r="J21" s="21">
        <f>Tableau22[[#This Row],[Montant HT]]*0.01</f>
        <v>36.4</v>
      </c>
      <c r="K21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4332.6</v>
      </c>
      <c r="L21" s="21">
        <f>(Tableau22[[#This Row],[Montant HT]]+Tableau22[[#This Row],[Montant de la TVA]])*0.01</f>
        <v>43.326</v>
      </c>
      <c r="M21" s="22">
        <v>4332.6</v>
      </c>
      <c r="N21" s="21">
        <f>Tableau22[[#This Row],[Montant TTC]]-Tableau22[[#This Row],[Versements effectués par SOUGUI]]</f>
        <v>0</v>
      </c>
      <c r="O21" s="23" t="str">
        <f t="shared" si="0"/>
        <v>Payé</v>
      </c>
      <c r="P21" s="12">
        <f>Tableau22[[#This Row],[Date de facture]]</f>
        <v>45281</v>
      </c>
      <c r="Q21" s="15" t="s">
        <v>47</v>
      </c>
      <c r="R21" s="35"/>
      <c r="S21" s="35"/>
      <c r="T21" s="15"/>
      <c r="U21" s="15" t="s">
        <v>132</v>
      </c>
    </row>
    <row r="22" spans="1:21">
      <c r="A22" s="5"/>
      <c r="B22" s="11" t="s">
        <v>133</v>
      </c>
      <c r="C22" s="11" t="s">
        <v>134</v>
      </c>
      <c r="D22" s="11">
        <v>202308</v>
      </c>
      <c r="E22" s="12">
        <v>45285</v>
      </c>
      <c r="F22" s="13">
        <v>1800</v>
      </c>
      <c r="G22" s="14">
        <v>0.19</v>
      </c>
      <c r="H22" s="15"/>
      <c r="I22" s="21">
        <f>IF(Tableau22[[#This Row],[Montant HT]]="","",IF(Tableau22[[#This Row],[Montant HT]]&gt;0,Tableau22[[#This Row],[Montant TTC]]-Tableau22[[#This Row],[Montant HT]]))</f>
        <v>360</v>
      </c>
      <c r="J22" s="21">
        <f>Tableau22[[#This Row],[Montant HT]]*0.01</f>
        <v>18</v>
      </c>
      <c r="K22" s="21">
        <v>2160</v>
      </c>
      <c r="L22" s="21">
        <f>(Tableau22[[#This Row],[Montant HT]]+Tableau22[[#This Row],[Montant de la TVA]])*0.01</f>
        <v>21.6</v>
      </c>
      <c r="M22" s="22">
        <v>2160</v>
      </c>
      <c r="N22" s="21">
        <f>Tableau22[[#This Row],[Montant TTC]]-Tableau22[[#This Row],[Versements effectués par SOUGUI]]</f>
        <v>0</v>
      </c>
      <c r="O22" s="23" t="str">
        <f t="shared" si="0"/>
        <v>Payé</v>
      </c>
      <c r="P22" s="12">
        <f>Tableau22[[#This Row],[Date de facture]]</f>
        <v>45285</v>
      </c>
      <c r="Q22" s="15" t="s">
        <v>47</v>
      </c>
      <c r="R22" s="35"/>
      <c r="S22" s="35"/>
      <c r="T22" s="15"/>
      <c r="U22" s="15" t="s">
        <v>135</v>
      </c>
    </row>
    <row r="23" spans="1:21">
      <c r="A23" s="5"/>
      <c r="B23" s="11" t="s">
        <v>100</v>
      </c>
      <c r="C23" s="11" t="s">
        <v>100</v>
      </c>
      <c r="D23" s="11" t="s">
        <v>136</v>
      </c>
      <c r="E23" s="12">
        <v>45288</v>
      </c>
      <c r="F23" s="13">
        <v>504.462</v>
      </c>
      <c r="G23" s="14">
        <v>0.19</v>
      </c>
      <c r="H23" s="15">
        <v>1</v>
      </c>
      <c r="I23" s="21">
        <f>IF(Tableau22[[#This Row],[Montant HT]]="","",IF(Tableau22[[#This Row],[Montant HT]]&gt;0,Tableau22[[#This Row],[Montant TTC]]-Tableau22[[#This Row],[Montant HT]]))</f>
        <v>96.8477800000001</v>
      </c>
      <c r="J23" s="21">
        <f>Tableau22[[#This Row],[Montant HT]]*0.01</f>
        <v>5.04462</v>
      </c>
      <c r="K23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601.30978</v>
      </c>
      <c r="L23" s="21">
        <f>(Tableau22[[#This Row],[Montant HT]]+Tableau22[[#This Row],[Montant de la TVA]])*0.01</f>
        <v>6.0130978</v>
      </c>
      <c r="M23" s="22">
        <v>601.30978</v>
      </c>
      <c r="N23" s="21">
        <f>Tableau22[[#This Row],[Montant TTC]]-Tableau22[[#This Row],[Versements effectués par SOUGUI]]</f>
        <v>0</v>
      </c>
      <c r="O23" s="23" t="str">
        <f t="shared" si="0"/>
        <v>Payé</v>
      </c>
      <c r="P23" s="12">
        <f>Tableau22[[#This Row],[Date de facture]]</f>
        <v>45288</v>
      </c>
      <c r="Q23" s="15" t="s">
        <v>69</v>
      </c>
      <c r="R23" s="35"/>
      <c r="S23" s="35"/>
      <c r="T23" s="15"/>
      <c r="U23" s="15" t="s">
        <v>102</v>
      </c>
    </row>
    <row r="24" spans="1:21">
      <c r="A24" s="5"/>
      <c r="B24" s="11" t="s">
        <v>137</v>
      </c>
      <c r="C24" s="11" t="s">
        <v>137</v>
      </c>
      <c r="D24" s="11" t="s">
        <v>138</v>
      </c>
      <c r="E24" s="12">
        <v>45315</v>
      </c>
      <c r="F24" s="13">
        <v>950</v>
      </c>
      <c r="G24" s="14">
        <v>0.19</v>
      </c>
      <c r="H24" s="15">
        <v>1</v>
      </c>
      <c r="I24" s="21">
        <v>192.805</v>
      </c>
      <c r="J24" s="21">
        <f>Tableau22[[#This Row],[Montant HT]]*0.01</f>
        <v>9.5</v>
      </c>
      <c r="K24" s="21">
        <v>1142.805</v>
      </c>
      <c r="L24" s="21">
        <f>(Tableau22[[#This Row],[Montant HT]]+Tableau22[[#This Row],[Montant de la TVA]])*0.01</f>
        <v>11.42805</v>
      </c>
      <c r="M24" s="22">
        <v>1142.805</v>
      </c>
      <c r="N24" s="21">
        <f>IF(ISERROR(Tableau22[[#This Row],[Montant TTC]]-Tableau22[[#This Row],[Versements effectués par SOUGUI]]),"",Tableau22[[#This Row],[Montant TTC]]-Tableau22[[#This Row],[Versements effectués par SOUGUI]])</f>
        <v>0</v>
      </c>
      <c r="O24" s="23" t="str">
        <f t="shared" si="0"/>
        <v>Payé</v>
      </c>
      <c r="P24" s="12">
        <v>45315</v>
      </c>
      <c r="Q24" s="15" t="s">
        <v>69</v>
      </c>
      <c r="R24" s="35"/>
      <c r="S24" s="35"/>
      <c r="T24" s="15"/>
      <c r="U24" s="15" t="s">
        <v>139</v>
      </c>
    </row>
    <row r="25" spans="1:21">
      <c r="A25" s="5"/>
      <c r="B25" s="11" t="s">
        <v>116</v>
      </c>
      <c r="C25" s="11" t="s">
        <v>116</v>
      </c>
      <c r="D25" s="11" t="s">
        <v>117</v>
      </c>
      <c r="E25" s="12">
        <v>45307</v>
      </c>
      <c r="F25" s="13">
        <v>3932.2499</v>
      </c>
      <c r="G25" s="14">
        <v>0.07</v>
      </c>
      <c r="H25" s="15"/>
      <c r="I25" s="21">
        <f>IF(Tableau22[[#This Row],[Montant HT]]="","",IF(Tableau22[[#This Row],[Montant HT]]&gt;0,Tableau22[[#This Row],[Montant TTC]]-Tableau22[[#This Row],[Montant HT]]))</f>
        <v>275.257493</v>
      </c>
      <c r="J25" s="21">
        <f>Tableau22[[#This Row],[Montant HT]]*0.01</f>
        <v>39.322499</v>
      </c>
      <c r="K25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4207.507393</v>
      </c>
      <c r="L25" s="21">
        <f>(Tableau22[[#This Row],[Montant HT]]+Tableau22[[#This Row],[Montant de la TVA]])*0.01</f>
        <v>42.07507393</v>
      </c>
      <c r="M25" s="22">
        <v>4207.507393</v>
      </c>
      <c r="N25" s="21">
        <f>IF(ISERROR(Tableau22[[#This Row],[Montant TTC]]-Tableau22[[#This Row],[Versements effectués par SOUGUI]]),"",Tableau22[[#This Row],[Montant TTC]]-Tableau22[[#This Row],[Versements effectués par SOUGUI]])</f>
        <v>0</v>
      </c>
      <c r="O25" s="23" t="str">
        <f t="shared" si="0"/>
        <v>Payé</v>
      </c>
      <c r="P25" s="12"/>
      <c r="Q25" s="15" t="s">
        <v>69</v>
      </c>
      <c r="R25" s="35"/>
      <c r="S25" s="35"/>
      <c r="T25" s="15"/>
      <c r="U25" s="15" t="s">
        <v>118</v>
      </c>
    </row>
    <row r="26" spans="1:21">
      <c r="A26" s="5"/>
      <c r="B26" s="11" t="s">
        <v>113</v>
      </c>
      <c r="C26" s="11" t="s">
        <v>114</v>
      </c>
      <c r="D26" s="11">
        <v>301</v>
      </c>
      <c r="E26" s="12">
        <v>45307</v>
      </c>
      <c r="F26" s="13">
        <v>8411.21495</v>
      </c>
      <c r="G26" s="14">
        <v>0.07</v>
      </c>
      <c r="H26" s="15"/>
      <c r="I26" s="21">
        <f>IF(Tableau22[[#This Row],[Montant HT]]="","",IF(Tableau22[[#This Row],[Montant HT]]&gt;0,Tableau22[[#This Row],[Montant TTC]]-Tableau22[[#This Row],[Montant HT]]))</f>
        <v>588.785046499999</v>
      </c>
      <c r="J26" s="21">
        <f>Tableau22[[#This Row],[Montant HT]]*0.01</f>
        <v>84.1121495</v>
      </c>
      <c r="K26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8999.9999965</v>
      </c>
      <c r="L26" s="21">
        <f>(Tableau22[[#This Row],[Montant HT]]+Tableau22[[#This Row],[Montant de la TVA]])*0.01</f>
        <v>89.999999965</v>
      </c>
      <c r="M26" s="22">
        <v>8999.9999965</v>
      </c>
      <c r="N26" s="21">
        <f>IF(ISERROR(Tableau22[[#This Row],[Montant TTC]]-Tableau22[[#This Row],[Versements effectués par SOUGUI]]),"",Tableau22[[#This Row],[Montant TTC]]-Tableau22[[#This Row],[Versements effectués par SOUGUI]])</f>
        <v>0</v>
      </c>
      <c r="O26" s="23" t="str">
        <f t="shared" si="0"/>
        <v>Payé</v>
      </c>
      <c r="P26" s="12"/>
      <c r="Q26" s="15" t="s">
        <v>69</v>
      </c>
      <c r="R26" s="35"/>
      <c r="S26" s="35"/>
      <c r="T26" s="15"/>
      <c r="U26" s="15" t="s">
        <v>140</v>
      </c>
    </row>
    <row r="27" spans="1:21">
      <c r="A27" s="5"/>
      <c r="B27" s="11" t="s">
        <v>141</v>
      </c>
      <c r="C27" s="11" t="s">
        <v>141</v>
      </c>
      <c r="D27" s="11">
        <v>24044</v>
      </c>
      <c r="E27" s="12">
        <v>45484</v>
      </c>
      <c r="F27" s="13">
        <v>1797</v>
      </c>
      <c r="G27" s="14">
        <v>0.19</v>
      </c>
      <c r="H27" s="15">
        <v>1</v>
      </c>
      <c r="I27" s="21">
        <f>IF(Tableau22[[#This Row],[Montant HT]]="","",IF(Tableau22[[#This Row],[Montant HT]]&gt;0,(Tableau22[[#This Row],[Montant HT]]+IF(ISNUMBER(Tableau22[[#This Row],[FODEC]]),Tableau22[[#This Row],[FODEC]],0))*0.19,0))</f>
        <v>344.8443</v>
      </c>
      <c r="J27" s="21">
        <f>Tableau22[[#This Row],[Montant HT]]*0.01</f>
        <v>17.97</v>
      </c>
      <c r="K27" s="21">
        <f>IF(Tableau22[[#This Row],[Montant HT]]="","",IF(Tableau22[[#This Row],[Montant HT]]&gt;0,IF(ISNUMBER(Tableau22[[#This Row],[Timbre]]),Tableau22[[#This Row],[Montant HT]]+((Tableau22[[#This Row],[Montant HT]]+IF(ISNUMBER(Tableau22[[#This Row],[FODEC]]),Tableau22[[#This Row],[FODEC]],0))*Tableau22[[#This Row],[Taux de TVA]])+IF(ISNUMBER(Tableau22[[#This Row],[FODEC]]),Tableau22[[#This Row],[FODEC]],0)+IF(ISNUMBER(Tableau22[[#This Row],[Timbre]]),Tableau22[[#This Row],[Timbre]],0)-IF(ISNUMBER(Tableau22[[#This Row],[Retenue ]]),Tableau22[[#This Row],[Retenue ]],0),Tableau22[[#This Row],[Montant HT]]+((Tableau22[[#This Row],[Montant HT]]+IF(ISNUMBER(Tableau22[[#This Row],[FODEC]]),Tableau22[[#This Row],[FODEC]],0))*Tableau22[[#This Row],[Taux de TVA]])+IF(ISNUMBER(Tableau22[[#This Row],[FODEC]]),Tableau22[[#This Row],[FODEC]],0)-IF(ISNUMBER(Tableau22[[#This Row],[Retenue ]]),Tableau22[[#This Row],[Retenue ]],0)),0))</f>
        <v>2139.395857</v>
      </c>
      <c r="L27" s="21">
        <f>(Tableau22[[#This Row],[Montant HT]]+Tableau22[[#This Row],[Montant de la TVA]])*0.01</f>
        <v>21.418443</v>
      </c>
      <c r="M27" s="22">
        <v>2139.395857</v>
      </c>
      <c r="N27" s="21">
        <f>IF(ISERROR(Tableau22[[#This Row],[Montant TTC]]-Tableau22[[#This Row],[Versements effectués par SOUGUI]]),"",Tableau22[[#This Row],[Montant TTC]]-Tableau22[[#This Row],[Versements effectués par SOUGUI]])</f>
        <v>0</v>
      </c>
      <c r="O27" s="23" t="str">
        <f t="shared" si="0"/>
        <v>Payé</v>
      </c>
      <c r="P27" s="12">
        <v>45484</v>
      </c>
      <c r="Q27" s="15" t="s">
        <v>47</v>
      </c>
      <c r="R27" s="35"/>
      <c r="S27" s="35"/>
      <c r="T27" s="15"/>
      <c r="U27" s="15" t="s">
        <v>142</v>
      </c>
    </row>
    <row r="28" spans="1:21">
      <c r="A28" s="5"/>
      <c r="B28" s="11" t="s">
        <v>143</v>
      </c>
      <c r="C28" s="11" t="s">
        <v>144</v>
      </c>
      <c r="D28" s="11">
        <v>393</v>
      </c>
      <c r="E28" s="12">
        <v>45490</v>
      </c>
      <c r="F28" s="13">
        <v>375.2</v>
      </c>
      <c r="G28" s="14">
        <v>0.19</v>
      </c>
      <c r="H28" s="15">
        <v>1</v>
      </c>
      <c r="I28" s="21">
        <f>IF(Tableau22[[#This Row],[Montant HT]]="","",IF(Tableau22[[#This Row],[Montant HT]]&gt;0,Tableau22[[#This Row],[Montant TTC]]-Tableau22[[#This Row],[Montant HT]]))</f>
        <v>72.288</v>
      </c>
      <c r="J28" s="21">
        <f>Tableau22[[#This Row],[Montant HT]]*0.01</f>
        <v>3.752</v>
      </c>
      <c r="K28" s="21">
        <f>IF(Tableau22[[#This Row],[Montant HT]]="","",IF(Tableau22[[#This Row],[Montant HT]]&gt;0,IF(ISNUMBER(Tableau22[[#This Row],[Timbre]]),Tableau22[[#This Row],[Montant HT]]+(Tableau22[[#This Row],[Montant HT]]*Tableau22[[#This Row],[Taux de TVA]])+Tableau22[[#This Row],[Timbre]],Tableau22[[#This Row],[Montant HT]]+(Tableau22[[#This Row],[Montant HT]]*Tableau22[[#This Row],[Taux de TVA]])),0))</f>
        <v>447.488</v>
      </c>
      <c r="L28" s="21">
        <f>(Tableau22[[#This Row],[Montant HT]]+Tableau22[[#This Row],[Montant de la TVA]])*0.01</f>
        <v>4.47488</v>
      </c>
      <c r="M28" s="22">
        <v>447.488</v>
      </c>
      <c r="N28" s="21">
        <f>IF(ISERROR(Tableau22[[#This Row],[Montant TTC]]-Tableau22[[#This Row],[Versements effectués par SOUGUI]]),"",Tableau22[[#This Row],[Montant TTC]]-Tableau22[[#This Row],[Versements effectués par SOUGUI]])</f>
        <v>0</v>
      </c>
      <c r="O28" s="23" t="str">
        <f t="shared" si="0"/>
        <v>Payé</v>
      </c>
      <c r="P28" s="12">
        <v>45490</v>
      </c>
      <c r="Q28" s="15" t="s">
        <v>47</v>
      </c>
      <c r="R28" s="35"/>
      <c r="S28" s="35"/>
      <c r="T28" s="15"/>
      <c r="U28" s="15" t="s">
        <v>145</v>
      </c>
    </row>
    <row r="29" spans="1:21">
      <c r="A29" s="5"/>
      <c r="B29" s="11" t="s">
        <v>146</v>
      </c>
      <c r="C29" s="11" t="s">
        <v>146</v>
      </c>
      <c r="D29" s="11">
        <v>3732</v>
      </c>
      <c r="E29" s="12">
        <v>45488</v>
      </c>
      <c r="F29" s="13">
        <v>210.25</v>
      </c>
      <c r="G29" s="14">
        <v>0.19</v>
      </c>
      <c r="H29" s="15">
        <v>1</v>
      </c>
      <c r="I29" s="26">
        <f>IF(Tableau22[[#This Row],[Montant HT]]="","",IF(Tableau22[[#This Row],[Montant HT]]&gt;0,Tableau22[[#This Row],[Montant TTC]]-Tableau22[[#This Row],[Montant HT]]))</f>
        <v>40.9475</v>
      </c>
      <c r="J29" s="21">
        <v>0</v>
      </c>
      <c r="K29" s="26">
        <f>IF(Tableau22[[#This Row],[Montant HT]]="","",IF(Tableau22[[#This Row],[Montant HT]]&gt;0,IF(ISNUMBER(Tableau22[[#This Row],[Timbre]]),Tableau22[[#This Row],[Montant HT]]+((Tableau22[[#This Row],[Montant HT]]+IF(ISNUMBER(Tableau22[[#This Row],[FODEC]]),Tableau22[[#This Row],[FODEC]],0))*Tableau22[[#This Row],[Taux de TVA]])+IF(ISNUMBER(Tableau22[[#This Row],[FODEC]]),Tableau22[[#This Row],[FODEC]],0)+Tableau22[[#This Row],[Timbre]],Tableau22[[#This Row],[Montant HT]]+((Tableau22[[#This Row],[Montant HT]]+IF(ISNUMBER(Tableau22[[#This Row],[FODEC]]),Tableau22[[#This Row],[FODEC]],0))*Tableau22[[#This Row],[Taux de TVA]])+IF(ISNUMBER(Tableau22[[#This Row],[FODEC]]),Tableau22[[#This Row],[FODEC]],0)),0))</f>
        <v>251.1975</v>
      </c>
      <c r="L29" s="26">
        <f>(Tableau22[[#This Row],[Montant HT]]+Tableau22[[#This Row],[Montant de la TVA]])*0.01</f>
        <v>2.511975</v>
      </c>
      <c r="M29" s="22">
        <v>251.1975</v>
      </c>
      <c r="N29" s="21">
        <f>IF(ISERROR(Tableau22[[#This Row],[Montant TTC]]-Tableau22[[#This Row],[Versements effectués par SOUGUI]]),"",Tableau22[[#This Row],[Montant TTC]]-Tableau22[[#This Row],[Versements effectués par SOUGUI]])</f>
        <v>0</v>
      </c>
      <c r="O29" s="23" t="str">
        <f t="shared" si="0"/>
        <v>Payé</v>
      </c>
      <c r="P29" s="12">
        <v>45488</v>
      </c>
      <c r="Q29" s="15" t="s">
        <v>69</v>
      </c>
      <c r="R29" s="35"/>
      <c r="S29" s="35"/>
      <c r="T29" s="15"/>
      <c r="U29" s="15" t="s">
        <v>147</v>
      </c>
    </row>
    <row r="30" spans="1:21">
      <c r="A30" s="5"/>
      <c r="B30" s="11" t="s">
        <v>148</v>
      </c>
      <c r="C30" s="11" t="s">
        <v>149</v>
      </c>
      <c r="D30" s="11" t="s">
        <v>150</v>
      </c>
      <c r="E30" s="12">
        <v>45493</v>
      </c>
      <c r="F30" s="13">
        <v>1500.476</v>
      </c>
      <c r="G30" s="14">
        <v>0.19</v>
      </c>
      <c r="H30" s="15">
        <v>1</v>
      </c>
      <c r="I30" s="21">
        <f>IF(Tableau22[[#This Row],[Montant HT]]="","",IF(Tableau22[[#This Row],[Montant HT]]&gt;0,Tableau22[[#This Row],[Montant HT]]*Tableau22[[#This Row],[Taux de TVA]]))</f>
        <v>285.09044</v>
      </c>
      <c r="J30" s="21">
        <v>0</v>
      </c>
      <c r="K30" s="21">
        <f>IF(Tableau22[[#This Row],[Montant HT]]="","",IF(Tableau22[[#This Row],[Montant HT]]&gt;0,IF(ISNUMBER(Tableau22[[#This Row],[Timbre]]),Tableau22[[#This Row],[Montant HT]]+((Tableau22[[#This Row],[Montant HT]]+IF(ISNUMBER(Tableau22[[#This Row],[FODEC]]),Tableau22[[#This Row],[FODEC]],0))*Tableau22[[#This Row],[Taux de TVA]])+IF(ISNUMBER(Tableau22[[#This Row],[FODEC]]),Tableau22[[#This Row],[FODEC]],0)+IF(ISNUMBER(Tableau22[[#This Row],[Timbre]]),Tableau22[[#This Row],[Timbre]],0)-IF(ISNUMBER(Tableau22[[#This Row],[Retenue ]]),Tableau22[[#This Row],[Retenue ]],0),Tableau22[[#This Row],[Montant HT]]+((Tableau22[[#This Row],[Montant HT]]+IF(ISNUMBER(Tableau22[[#This Row],[FODEC]]),Tableau22[[#This Row],[FODEC]],0))*Tableau22[[#This Row],[Taux de TVA]])+IF(ISNUMBER(Tableau22[[#This Row],[FODEC]]),Tableau22[[#This Row],[FODEC]],0)-IF(ISNUMBER(Tableau22[[#This Row],[Retenue ]]),Tableau22[[#This Row],[Retenue ]],0)),0))</f>
        <v>1732.9994468</v>
      </c>
      <c r="L30" s="26">
        <f>(Tableau22[[#This Row],[Montant HT]]+Tableau22[[#This Row],[Montant de la TVA]])*0.03</f>
        <v>53.5669932</v>
      </c>
      <c r="M30" s="22">
        <v>1732.9994468</v>
      </c>
      <c r="N30" s="21">
        <f>IF(ISERROR(Tableau22[[#This Row],[Montant TTC]]-Tableau22[[#This Row],[Versements effectués par SOUGUI]]),"",Tableau22[[#This Row],[Montant TTC]]-Tableau22[[#This Row],[Versements effectués par SOUGUI]])</f>
        <v>0</v>
      </c>
      <c r="O30" s="23" t="str">
        <f t="shared" si="0"/>
        <v>Payé</v>
      </c>
      <c r="P30" s="12"/>
      <c r="Q30" s="15"/>
      <c r="R30" s="35"/>
      <c r="S30" s="35"/>
      <c r="T30" s="15"/>
      <c r="U30" s="15"/>
    </row>
    <row r="31" spans="1:21">
      <c r="A31" s="5"/>
      <c r="B31" s="11" t="s">
        <v>151</v>
      </c>
      <c r="C31" s="11" t="s">
        <v>151</v>
      </c>
      <c r="D31" s="11">
        <v>2401316943</v>
      </c>
      <c r="E31" s="12">
        <v>45292</v>
      </c>
      <c r="F31" s="13">
        <v>64.286</v>
      </c>
      <c r="G31" s="14">
        <v>0.19</v>
      </c>
      <c r="H31" s="16">
        <f>(Tableau22[[#This Row],[Montant de la TVA]]+Tableau22[[#This Row],[Montant HT]])*0.14</f>
        <v>12.2094476</v>
      </c>
      <c r="I31" s="21">
        <f>IF(Tableau22[[#This Row],[Montant HT]]="","",IF(Tableau22[[#This Row],[Montant HT]]&gt;0,Tableau22[[#This Row],[Montant TTC]]-Tableau22[[#This Row],[Montant HT]]))</f>
        <v>22.92434</v>
      </c>
      <c r="J31" s="21"/>
      <c r="K31" s="21">
        <f>IF(Tableau22[[#This Row],[Montant HT]]="","",IF(Tableau22[[#This Row],[Montant HT]]&gt;0,Tableau22[[#This Row],[Montant HT]]+10.71+(Tableau22[[#This Row],[Montant HT]]*Tableau22[[#This Row],[Taux de TVA]])))</f>
        <v>87.21034</v>
      </c>
      <c r="L31" s="21"/>
      <c r="M31" s="22">
        <f>Tableau22[[#This Row],[Montant TTC]]</f>
        <v>87.21034</v>
      </c>
      <c r="N31" s="21">
        <f>IF(ISERROR(Tableau22[[#This Row],[Montant TTC]]-Tableau22[[#This Row],[Versements effectués par SOUGUI]]),"",Tableau22[[#This Row],[Montant TTC]]-Tableau22[[#This Row],[Versements effectués par SOUGUI]])</f>
        <v>0</v>
      </c>
      <c r="O31" s="23" t="str">
        <f t="shared" si="0"/>
        <v>Payé</v>
      </c>
      <c r="P31" s="12"/>
      <c r="Q31" s="15"/>
      <c r="R31" s="35"/>
      <c r="S31" s="35"/>
      <c r="T31" s="15"/>
      <c r="U31" s="15"/>
    </row>
    <row r="32" spans="1:21">
      <c r="A32" s="5"/>
      <c r="B32" s="11" t="s">
        <v>151</v>
      </c>
      <c r="C32" s="11" t="s">
        <v>151</v>
      </c>
      <c r="D32" s="11">
        <v>2401316943</v>
      </c>
      <c r="E32" s="12">
        <v>45323</v>
      </c>
      <c r="F32" s="13">
        <v>64.286</v>
      </c>
      <c r="G32" s="14">
        <v>0.19</v>
      </c>
      <c r="H32" s="16">
        <f>(Tableau22[[#This Row],[Montant de la TVA]]+Tableau22[[#This Row],[Montant HT]])*0.14</f>
        <v>12.2094476</v>
      </c>
      <c r="I32" s="21">
        <f>IF(Tableau22[[#This Row],[Montant HT]]="","",IF(Tableau22[[#This Row],[Montant HT]]&gt;0,Tableau22[[#This Row],[Montant TTC]]-Tableau22[[#This Row],[Montant HT]]))</f>
        <v>22.92434</v>
      </c>
      <c r="J32" s="21"/>
      <c r="K32" s="21">
        <f>IF(Tableau22[[#This Row],[Montant HT]]="","",IF(Tableau22[[#This Row],[Montant HT]]&gt;0,Tableau22[[#This Row],[Montant HT]]+10.71+(Tableau22[[#This Row],[Montant HT]]*Tableau22[[#This Row],[Taux de TVA]])))</f>
        <v>87.21034</v>
      </c>
      <c r="L32" s="21"/>
      <c r="M32" s="22">
        <f>Tableau22[[#This Row],[Montant TTC]]</f>
        <v>87.21034</v>
      </c>
      <c r="N32" s="21">
        <f>IF(ISERROR(Tableau22[[#This Row],[Montant TTC]]-Tableau22[[#This Row],[Versements effectués par SOUGUI]]),"",Tableau22[[#This Row],[Montant TTC]]-Tableau22[[#This Row],[Versements effectués par SOUGUI]])</f>
        <v>0</v>
      </c>
      <c r="O32" s="23" t="str">
        <f t="shared" ref="O32:O36" si="1">IF(N32=0,"Payé","Pas encore payé")</f>
        <v>Payé</v>
      </c>
      <c r="P32" s="12"/>
      <c r="Q32" s="15"/>
      <c r="R32" s="35"/>
      <c r="S32" s="35"/>
      <c r="T32" s="15"/>
      <c r="U32" s="15"/>
    </row>
    <row r="33" spans="1:21">
      <c r="A33" s="5"/>
      <c r="B33" s="11" t="s">
        <v>151</v>
      </c>
      <c r="C33" s="11" t="s">
        <v>151</v>
      </c>
      <c r="D33" s="11">
        <v>2401316943</v>
      </c>
      <c r="E33" s="12">
        <v>45352</v>
      </c>
      <c r="F33" s="13">
        <v>64.286</v>
      </c>
      <c r="G33" s="14">
        <v>0.19</v>
      </c>
      <c r="H33" s="16">
        <f>(Tableau22[[#This Row],[Montant de la TVA]]+Tableau22[[#This Row],[Montant HT]])*0.14</f>
        <v>12.2094476</v>
      </c>
      <c r="I33" s="21">
        <f>IF(Tableau22[[#This Row],[Montant HT]]="","",IF(Tableau22[[#This Row],[Montant HT]]&gt;0,Tableau22[[#This Row],[Montant TTC]]-Tableau22[[#This Row],[Montant HT]]))</f>
        <v>22.92434</v>
      </c>
      <c r="J33" s="21"/>
      <c r="K33" s="21">
        <f>IF(Tableau22[[#This Row],[Montant HT]]="","",IF(Tableau22[[#This Row],[Montant HT]]&gt;0,Tableau22[[#This Row],[Montant HT]]+10.71+(Tableau22[[#This Row],[Montant HT]]*Tableau22[[#This Row],[Taux de TVA]])))</f>
        <v>87.21034</v>
      </c>
      <c r="L33" s="21"/>
      <c r="M33" s="22">
        <f>Tableau22[[#This Row],[Montant TTC]]</f>
        <v>87.21034</v>
      </c>
      <c r="N33" s="21">
        <f>IF(ISERROR(Tableau22[[#This Row],[Montant TTC]]-Tableau22[[#This Row],[Versements effectués par SOUGUI]]),"",Tableau22[[#This Row],[Montant TTC]]-Tableau22[[#This Row],[Versements effectués par SOUGUI]])</f>
        <v>0</v>
      </c>
      <c r="O33" s="23" t="str">
        <f t="shared" si="1"/>
        <v>Payé</v>
      </c>
      <c r="P33" s="12"/>
      <c r="Q33" s="15"/>
      <c r="R33" s="35"/>
      <c r="S33" s="35"/>
      <c r="T33" s="15"/>
      <c r="U33" s="15"/>
    </row>
    <row r="34" spans="1:21">
      <c r="A34" s="5"/>
      <c r="B34" s="11" t="s">
        <v>151</v>
      </c>
      <c r="C34" s="11" t="s">
        <v>151</v>
      </c>
      <c r="D34" s="11">
        <v>2401316943</v>
      </c>
      <c r="E34" s="12">
        <v>45383</v>
      </c>
      <c r="F34" s="13">
        <v>64.286</v>
      </c>
      <c r="G34" s="14">
        <v>0.19</v>
      </c>
      <c r="H34" s="16">
        <f>(Tableau22[[#This Row],[Montant de la TVA]]+Tableau22[[#This Row],[Montant HT]])*0.14</f>
        <v>12.2094476</v>
      </c>
      <c r="I34" s="21">
        <f>IF(Tableau22[[#This Row],[Montant HT]]="","",IF(Tableau22[[#This Row],[Montant HT]]&gt;0,Tableau22[[#This Row],[Montant TTC]]-Tableau22[[#This Row],[Montant HT]]))</f>
        <v>22.92434</v>
      </c>
      <c r="J34" s="21"/>
      <c r="K34" s="21">
        <f>IF(Tableau22[[#This Row],[Montant HT]]="","",IF(Tableau22[[#This Row],[Montant HT]]&gt;0,Tableau22[[#This Row],[Montant HT]]+10.71+(Tableau22[[#This Row],[Montant HT]]*Tableau22[[#This Row],[Taux de TVA]])))</f>
        <v>87.21034</v>
      </c>
      <c r="L34" s="21"/>
      <c r="M34" s="22">
        <f>Tableau22[[#This Row],[Montant TTC]]</f>
        <v>87.21034</v>
      </c>
      <c r="N34" s="21">
        <f>IF(ISERROR(Tableau22[[#This Row],[Montant TTC]]-Tableau22[[#This Row],[Versements effectués par SOUGUI]]),"",Tableau22[[#This Row],[Montant TTC]]-Tableau22[[#This Row],[Versements effectués par SOUGUI]])</f>
        <v>0</v>
      </c>
      <c r="O34" s="23" t="str">
        <f t="shared" si="1"/>
        <v>Payé</v>
      </c>
      <c r="P34" s="12"/>
      <c r="Q34" s="15"/>
      <c r="R34" s="35"/>
      <c r="S34" s="35"/>
      <c r="T34" s="15"/>
      <c r="U34" s="15"/>
    </row>
    <row r="35" spans="2:21">
      <c r="B35" s="11" t="s">
        <v>151</v>
      </c>
      <c r="C35" s="11" t="s">
        <v>151</v>
      </c>
      <c r="D35" s="11">
        <v>2401316943</v>
      </c>
      <c r="E35" s="12">
        <v>45413</v>
      </c>
      <c r="F35" s="13">
        <v>64.286</v>
      </c>
      <c r="G35" s="14">
        <v>0.19</v>
      </c>
      <c r="H35" s="16">
        <f>(Tableau22[[#This Row],[Montant de la TVA]]+Tableau22[[#This Row],[Montant HT]])*0.14</f>
        <v>12.2094476</v>
      </c>
      <c r="I35" s="21">
        <f>IF(Tableau22[[#This Row],[Montant HT]]="","",IF(Tableau22[[#This Row],[Montant HT]]&gt;0,Tableau22[[#This Row],[Montant TTC]]-Tableau22[[#This Row],[Montant HT]]))</f>
        <v>22.92434</v>
      </c>
      <c r="J35" s="21"/>
      <c r="K35" s="21">
        <f>IF(Tableau22[[#This Row],[Montant HT]]="","",IF(Tableau22[[#This Row],[Montant HT]]&gt;0,Tableau22[[#This Row],[Montant HT]]+10.71+(Tableau22[[#This Row],[Montant HT]]*Tableau22[[#This Row],[Taux de TVA]])))</f>
        <v>87.21034</v>
      </c>
      <c r="L35" s="21"/>
      <c r="M35" s="22">
        <f>Tableau22[[#This Row],[Montant TTC]]</f>
        <v>87.21034</v>
      </c>
      <c r="N35" s="21">
        <f>IF(ISERROR(Tableau22[[#This Row],[Montant TTC]]-Tableau22[[#This Row],[Versements effectués par SOUGUI]]),"",Tableau22[[#This Row],[Montant TTC]]-Tableau22[[#This Row],[Versements effectués par SOUGUI]])</f>
        <v>0</v>
      </c>
      <c r="O35" s="23" t="str">
        <f t="shared" si="1"/>
        <v>Payé</v>
      </c>
      <c r="P35" s="12"/>
      <c r="Q35" s="15"/>
      <c r="R35" s="35"/>
      <c r="S35" s="35"/>
      <c r="T35" s="15"/>
      <c r="U35" s="15"/>
    </row>
    <row r="36" spans="2:21">
      <c r="B36" s="11" t="s">
        <v>151</v>
      </c>
      <c r="C36" s="11" t="s">
        <v>151</v>
      </c>
      <c r="D36" s="11">
        <v>2401316943</v>
      </c>
      <c r="E36" s="12">
        <v>45444</v>
      </c>
      <c r="F36" s="13">
        <v>64.286</v>
      </c>
      <c r="G36" s="14">
        <v>0.19</v>
      </c>
      <c r="H36" s="16">
        <f>(Tableau22[[#This Row],[Montant de la TVA]]+Tableau22[[#This Row],[Montant HT]])*0.14</f>
        <v>12.2094476</v>
      </c>
      <c r="I36" s="21">
        <f>IF(Tableau22[[#This Row],[Montant HT]]="","",IF(Tableau22[[#This Row],[Montant HT]]&gt;0,Tableau22[[#This Row],[Montant TTC]]-Tableau22[[#This Row],[Montant HT]]))</f>
        <v>22.92434</v>
      </c>
      <c r="J36" s="21"/>
      <c r="K36" s="21">
        <f>IF(Tableau22[[#This Row],[Montant HT]]="","",IF(Tableau22[[#This Row],[Montant HT]]&gt;0,Tableau22[[#This Row],[Montant HT]]+10.71+(Tableau22[[#This Row],[Montant HT]]*Tableau22[[#This Row],[Taux de TVA]])))</f>
        <v>87.21034</v>
      </c>
      <c r="L36" s="21"/>
      <c r="M36" s="22">
        <f>Tableau22[[#This Row],[Montant TTC]]</f>
        <v>87.21034</v>
      </c>
      <c r="N36" s="21">
        <f>IF(ISERROR(Tableau22[[#This Row],[Montant TTC]]-Tableau22[[#This Row],[Versements effectués par SOUGUI]]),"",Tableau22[[#This Row],[Montant TTC]]-Tableau22[[#This Row],[Versements effectués par SOUGUI]])</f>
        <v>0</v>
      </c>
      <c r="O36" s="23" t="str">
        <f t="shared" si="1"/>
        <v>Payé</v>
      </c>
      <c r="P36" s="12"/>
      <c r="Q36" s="15"/>
      <c r="R36" s="35"/>
      <c r="S36" s="35"/>
      <c r="T36" s="15"/>
      <c r="U36" s="15"/>
    </row>
    <row r="37" s="1" customFormat="1" ht="19.5" customHeight="1" spans="2:21">
      <c r="B37" s="11" t="s">
        <v>151</v>
      </c>
      <c r="C37" s="11" t="s">
        <v>151</v>
      </c>
      <c r="D37" s="11">
        <v>2401316943</v>
      </c>
      <c r="E37" s="12">
        <v>45474</v>
      </c>
      <c r="F37" s="13">
        <v>64.286</v>
      </c>
      <c r="G37" s="14">
        <v>0.19</v>
      </c>
      <c r="H37" s="16">
        <f>(Tableau22[[#This Row],[Montant de la TVA]]+Tableau22[[#This Row],[Montant HT]])*0.14</f>
        <v>12.2094476</v>
      </c>
      <c r="I37" s="21">
        <f>IF(Tableau22[[#This Row],[Montant HT]]="","",IF(Tableau22[[#This Row],[Montant HT]]&gt;0,Tableau22[[#This Row],[Montant TTC]]-Tableau22[[#This Row],[Montant HT]]))</f>
        <v>22.92434</v>
      </c>
      <c r="J37" s="21"/>
      <c r="K37" s="21">
        <f>IF(Tableau22[[#This Row],[Montant HT]]="","",IF(Tableau22[[#This Row],[Montant HT]]&gt;0,Tableau22[[#This Row],[Montant HT]]+10.71+(Tableau22[[#This Row],[Montant HT]]*Tableau22[[#This Row],[Taux de TVA]])))</f>
        <v>87.21034</v>
      </c>
      <c r="L37" s="21"/>
      <c r="M37" s="22">
        <f>Tableau22[[#This Row],[Montant TTC]]</f>
        <v>87.21034</v>
      </c>
      <c r="N37" s="21">
        <f>IF(ISERROR(Tableau22[[#This Row],[Montant TTC]]-Tableau22[[#This Row],[Versements effectués par SOUGUI]]),"",Tableau22[[#This Row],[Montant TTC]]-Tableau22[[#This Row],[Versements effectués par SOUGUI]])</f>
        <v>0</v>
      </c>
      <c r="O37" s="23" t="str">
        <f t="shared" ref="O37:O39" si="2">IF(N37=0,"Payé","Pas encore payé")</f>
        <v>Payé</v>
      </c>
      <c r="P37" s="12"/>
      <c r="Q37" s="15"/>
      <c r="R37" s="35"/>
      <c r="S37" s="35"/>
      <c r="T37" s="15"/>
      <c r="U37" s="15"/>
    </row>
    <row r="38" spans="2:21">
      <c r="B38" s="11" t="s">
        <v>151</v>
      </c>
      <c r="C38" s="11" t="s">
        <v>151</v>
      </c>
      <c r="D38" s="11">
        <v>2401316943</v>
      </c>
      <c r="E38" s="12">
        <v>45505</v>
      </c>
      <c r="F38" s="13">
        <v>64.286</v>
      </c>
      <c r="G38" s="14">
        <v>0.19</v>
      </c>
      <c r="H38" s="16">
        <f>(Tableau22[[#This Row],[Montant de la TVA]]+Tableau22[[#This Row],[Montant HT]])*0.14</f>
        <v>12.2094476</v>
      </c>
      <c r="I38" s="21">
        <f>IF(Tableau22[[#This Row],[Montant HT]]="","",IF(Tableau22[[#This Row],[Montant HT]]&gt;0,Tableau22[[#This Row],[Montant TTC]]-Tableau22[[#This Row],[Montant HT]]))</f>
        <v>22.92434</v>
      </c>
      <c r="J38" s="21"/>
      <c r="K38" s="21">
        <f>IF(Tableau22[[#This Row],[Montant HT]]="","",IF(Tableau22[[#This Row],[Montant HT]]&gt;0,Tableau22[[#This Row],[Montant HT]]+10.71+(Tableau22[[#This Row],[Montant HT]]*Tableau22[[#This Row],[Taux de TVA]])))</f>
        <v>87.21034</v>
      </c>
      <c r="L38" s="21"/>
      <c r="M38" s="22">
        <f>Tableau22[[#This Row],[Montant TTC]]</f>
        <v>87.21034</v>
      </c>
      <c r="N38" s="21">
        <f>IF(ISERROR(Tableau22[[#This Row],[Montant TTC]]-Tableau22[[#This Row],[Versements effectués par SOUGUI]]),"",Tableau22[[#This Row],[Montant TTC]]-Tableau22[[#This Row],[Versements effectués par SOUGUI]])</f>
        <v>0</v>
      </c>
      <c r="O38" s="23" t="str">
        <f t="shared" si="2"/>
        <v>Payé</v>
      </c>
      <c r="P38" s="12"/>
      <c r="Q38" s="15"/>
      <c r="R38" s="35"/>
      <c r="S38" s="35"/>
      <c r="T38" s="15"/>
      <c r="U38" s="15"/>
    </row>
    <row r="39" spans="2:21">
      <c r="B39" s="11" t="s">
        <v>152</v>
      </c>
      <c r="C39" s="11" t="s">
        <v>153</v>
      </c>
      <c r="D39" s="11" t="s">
        <v>154</v>
      </c>
      <c r="E39" s="12">
        <v>45501</v>
      </c>
      <c r="F39" s="13">
        <v>365</v>
      </c>
      <c r="G39" s="14">
        <v>0.19</v>
      </c>
      <c r="H39" s="15">
        <v>1</v>
      </c>
      <c r="I39" s="21">
        <f>IF(Tableau22[[#This Row],[Montant HT]]="","",IF(Tableau22[[#This Row],[Montant HT]]&gt;0,Tableau22[[#This Row],[Montant TTC]]-Tableau22[[#This Row],[Montant HT]]))</f>
        <v>70.35</v>
      </c>
      <c r="J39" s="21"/>
      <c r="K39" s="21">
        <f>IF(Tableau22[[#This Row],[Montant HT]]="","",IF(Tableau22[[#This Row],[Montant HT]]&gt;0,Tableau22[[#This Row],[Montant HT]]+1+(Tableau22[[#This Row],[Montant HT]]*Tableau22[[#This Row],[Taux de TVA]])))</f>
        <v>435.35</v>
      </c>
      <c r="L39" s="21"/>
      <c r="M39" s="22">
        <v>435.35</v>
      </c>
      <c r="N39" s="21">
        <f>IF(ISERROR(Tableau22[[#This Row],[Montant TTC]]-Tableau22[[#This Row],[Versements effectués par SOUGUI]]),"",Tableau22[[#This Row],[Montant TTC]]-Tableau22[[#This Row],[Versements effectués par SOUGUI]])</f>
        <v>0</v>
      </c>
      <c r="O39" s="23" t="str">
        <f t="shared" si="2"/>
        <v>Payé</v>
      </c>
      <c r="P39" s="12">
        <v>45501</v>
      </c>
      <c r="Q39" s="15" t="s">
        <v>69</v>
      </c>
      <c r="R39" s="35"/>
      <c r="S39" s="35"/>
      <c r="T39" s="15"/>
      <c r="U39" s="15" t="s">
        <v>155</v>
      </c>
    </row>
    <row r="40" spans="2:21">
      <c r="B40" s="11" t="s">
        <v>156</v>
      </c>
      <c r="C40" s="11" t="s">
        <v>157</v>
      </c>
      <c r="D40" s="11" t="s">
        <v>158</v>
      </c>
      <c r="E40" s="17">
        <v>45462</v>
      </c>
      <c r="F40" s="18">
        <v>1116.9</v>
      </c>
      <c r="G40" s="19">
        <v>0.07</v>
      </c>
      <c r="H40" s="15">
        <v>1</v>
      </c>
      <c r="I40" s="27">
        <f>Tableau22[[#This Row],[Montant HT]]*Tableau22[[#This Row],[Taux de TVA]]</f>
        <v>78.183</v>
      </c>
      <c r="J40" s="28">
        <f>Tableau22[[#This Row],[Montant HT]]*0.01</f>
        <v>11.169</v>
      </c>
      <c r="K40" s="27">
        <f>IF(Tableau22[[#This Row],[Montant HT]]="","",IF(Tableau22[[#This Row],[Montant HT]]&gt;0,Tableau22[[#This Row],[Montant HT]]+Tableau22[[#This Row],[Timbre]]+Tableau22[[#This Row],[FODEC]]+(Tableau22[[#This Row],[Montant HT]]*Tableau22[[#This Row],[Taux de TVA]])))</f>
        <v>1207.252</v>
      </c>
      <c r="L40" s="21">
        <f>(Tableau22[[#This Row],[Montant HT]]+Tableau22[[#This Row],[Montant de la TVA]])*0.01</f>
        <v>11.95083</v>
      </c>
      <c r="M40" s="29">
        <f>IF(Tableau22[[#This Row],[Montant HT]]="","",IF(Tableau22[[#This Row],[Montant HT]]&gt;0,Tableau22[[#This Row],[Montant HT]]+Tableau22[[#This Row],[Timbre]]+Tableau22[[#This Row],[FODEC]]+(Tableau22[[#This Row],[Montant HT]]*Tableau22[[#This Row],[Taux de TVA]])))</f>
        <v>1207.252</v>
      </c>
      <c r="N40" s="21">
        <f>IF(ISERROR(Tableau22[[#This Row],[Montant TTC]]-Tableau22[[#This Row],[Versements effectués par SOUGUI]]),"",Tableau22[[#This Row],[Montant TTC]]-Tableau22[[#This Row],[Versements effectués par SOUGUI]])</f>
        <v>0</v>
      </c>
      <c r="O40" s="23" t="str">
        <f t="shared" ref="O40:O76" si="3">IF(N40=0,"Payé","Pas encore payé")</f>
        <v>Payé</v>
      </c>
      <c r="P40" s="17"/>
      <c r="Q40" s="36"/>
      <c r="R40" s="37"/>
      <c r="S40" s="37"/>
      <c r="T40" s="36"/>
      <c r="U40" s="38" t="s">
        <v>159</v>
      </c>
    </row>
    <row r="41" spans="2:21">
      <c r="B41" s="11" t="s">
        <v>160</v>
      </c>
      <c r="C41" s="11" t="s">
        <v>161</v>
      </c>
      <c r="D41" s="11"/>
      <c r="E41" s="17">
        <v>45439</v>
      </c>
      <c r="F41" s="18">
        <v>600</v>
      </c>
      <c r="G41" s="19">
        <v>0.19</v>
      </c>
      <c r="H41" s="15">
        <v>1</v>
      </c>
      <c r="I41" s="27">
        <f>Tableau22[[#This Row],[Montant HT]]*Tableau22[[#This Row],[Taux de TVA]]</f>
        <v>114</v>
      </c>
      <c r="J41" s="21">
        <f>Tableau22[[#This Row],[Montant HT]]*0.01</f>
        <v>6</v>
      </c>
      <c r="K41" s="27">
        <f>IF(Tableau22[[#This Row],[Montant HT]]="","",IF(Tableau22[[#This Row],[Montant HT]]&gt;0,Tableau22[[#This Row],[Montant HT]]+Tableau22[[#This Row],[Timbre]]+Tableau22[[#This Row],[FODEC]]+(Tableau22[[#This Row],[Montant HT]]*Tableau22[[#This Row],[Taux de TVA]])))</f>
        <v>721</v>
      </c>
      <c r="L41" s="21">
        <f>(Tableau22[[#This Row],[Montant HT]]+Tableau22[[#This Row],[Montant de la TVA]])*0.01</f>
        <v>7.14</v>
      </c>
      <c r="M41" s="30">
        <f>IF(Tableau22[[#This Row],[Montant HT]]="","",IF(Tableau22[[#This Row],[Montant HT]]&gt;0,Tableau22[[#This Row],[Montant HT]]+Tableau22[[#This Row],[Timbre]]+Tableau22[[#This Row],[FODEC]]+(Tableau22[[#This Row],[Montant HT]]*Tableau22[[#This Row],[Taux de TVA]])))</f>
        <v>721</v>
      </c>
      <c r="N41" s="21">
        <f>IF(ISERROR(Tableau22[[#This Row],[Montant TTC]]-Tableau22[[#This Row],[Versements effectués par SOUGUI]]),"",Tableau22[[#This Row],[Montant TTC]]-Tableau22[[#This Row],[Versements effectués par SOUGUI]])</f>
        <v>0</v>
      </c>
      <c r="O41" s="23" t="str">
        <f t="shared" si="3"/>
        <v>Payé</v>
      </c>
      <c r="P41" s="17"/>
      <c r="Q41" s="36"/>
      <c r="R41" s="37"/>
      <c r="S41" s="37"/>
      <c r="T41" s="36"/>
      <c r="U41" s="38" t="s">
        <v>162</v>
      </c>
    </row>
    <row r="42" spans="2:21">
      <c r="B42" s="11" t="s">
        <v>129</v>
      </c>
      <c r="C42" s="11" t="s">
        <v>129</v>
      </c>
      <c r="D42" s="11"/>
      <c r="E42" s="17">
        <v>45352</v>
      </c>
      <c r="F42" s="18">
        <v>21028.03</v>
      </c>
      <c r="G42" s="19">
        <v>0.07</v>
      </c>
      <c r="H42" s="15"/>
      <c r="I42" s="27">
        <f>Tableau22[[#This Row],[Montant HT]]*Tableau22[[#This Row],[Taux de TVA]]</f>
        <v>1471.9621</v>
      </c>
      <c r="J42" s="21"/>
      <c r="K42" s="27">
        <f>IF(Tableau22[[#This Row],[Montant HT]]="","",IF(Tableau22[[#This Row],[Montant HT]]&gt;0,Tableau22[[#This Row],[Montant HT]]+Tableau22[[#This Row],[Timbre]]+Tableau22[[#This Row],[FODEC]]+(Tableau22[[#This Row],[Montant HT]]*Tableau22[[#This Row],[Taux de TVA]])))</f>
        <v>22499.9921</v>
      </c>
      <c r="L42" s="21"/>
      <c r="M42" s="31">
        <v>22499.99</v>
      </c>
      <c r="N42" s="21">
        <f>IF(ISERROR(Tableau22[[#This Row],[Montant TTC]]-Tableau22[[#This Row],[Versements effectués par SOUGUI]]),"",Tableau22[[#This Row],[Montant TTC]]-Tableau22[[#This Row],[Versements effectués par SOUGUI]])</f>
        <v>0.00209999999788124</v>
      </c>
      <c r="O42" s="23" t="str">
        <f t="shared" si="3"/>
        <v>Pas encore payé</v>
      </c>
      <c r="P42" s="17"/>
      <c r="Q42" s="36"/>
      <c r="R42" s="37"/>
      <c r="S42" s="37"/>
      <c r="T42" s="36"/>
      <c r="U42" s="38" t="s">
        <v>163</v>
      </c>
    </row>
    <row r="43" spans="2:21">
      <c r="B43" s="11" t="s">
        <v>151</v>
      </c>
      <c r="C43" s="11" t="s">
        <v>151</v>
      </c>
      <c r="D43" s="11">
        <v>2401316943</v>
      </c>
      <c r="E43" s="12">
        <v>45536</v>
      </c>
      <c r="F43" s="13">
        <v>64.286</v>
      </c>
      <c r="G43" s="14">
        <v>0.19</v>
      </c>
      <c r="H43" s="16">
        <f>(Tableau22[[#This Row],[Montant de la TVA]]+Tableau22[[#This Row],[Montant HT]])*0.14</f>
        <v>12.2094476</v>
      </c>
      <c r="I43" s="21">
        <f>IF(Tableau22[[#This Row],[Montant HT]]="","",IF(Tableau22[[#This Row],[Montant HT]]&gt;0,Tableau22[[#This Row],[Montant TTC]]-Tableau22[[#This Row],[Montant HT]]))</f>
        <v>22.92434</v>
      </c>
      <c r="J43" s="21"/>
      <c r="K43" s="21">
        <f>IF(Tableau22[[#This Row],[Montant HT]]="","",IF(Tableau22[[#This Row],[Montant HT]]&gt;0,Tableau22[[#This Row],[Montant HT]]+10.71+(Tableau22[[#This Row],[Montant HT]]*Tableau22[[#This Row],[Taux de TVA]])))</f>
        <v>87.21034</v>
      </c>
      <c r="L43" s="21"/>
      <c r="M43" s="22">
        <f>Tableau22[[#This Row],[Montant TTC]]</f>
        <v>87.21034</v>
      </c>
      <c r="N43" s="21">
        <f>IF(ISERROR(Tableau22[[#This Row],[Montant TTC]]-Tableau22[[#This Row],[Versements effectués par SOUGUI]]),"",Tableau22[[#This Row],[Montant TTC]]-Tableau22[[#This Row],[Versements effectués par SOUGUI]])</f>
        <v>0</v>
      </c>
      <c r="O43" s="23" t="str">
        <f t="shared" si="3"/>
        <v>Payé</v>
      </c>
      <c r="P43" s="12"/>
      <c r="Q43" s="15"/>
      <c r="R43" s="35"/>
      <c r="S43" s="35"/>
      <c r="T43" s="15"/>
      <c r="U43" s="15"/>
    </row>
    <row r="44" spans="2:21">
      <c r="B44" s="11" t="s">
        <v>151</v>
      </c>
      <c r="C44" s="11" t="s">
        <v>151</v>
      </c>
      <c r="D44" s="11">
        <v>2401316943</v>
      </c>
      <c r="E44" s="12">
        <v>45566</v>
      </c>
      <c r="F44" s="13">
        <v>64.286</v>
      </c>
      <c r="G44" s="14">
        <v>0.19</v>
      </c>
      <c r="H44" s="16">
        <f>(Tableau22[[#This Row],[Montant de la TVA]]+Tableau22[[#This Row],[Montant HT]])*0.14</f>
        <v>12.2094476</v>
      </c>
      <c r="I44" s="21">
        <f>IF(Tableau22[[#This Row],[Montant HT]]="","",IF(Tableau22[[#This Row],[Montant HT]]&gt;0,Tableau22[[#This Row],[Montant TTC]]-Tableau22[[#This Row],[Montant HT]]))</f>
        <v>22.92434</v>
      </c>
      <c r="J44" s="21"/>
      <c r="K44" s="21">
        <f>IF(Tableau22[[#This Row],[Montant HT]]="","",IF(Tableau22[[#This Row],[Montant HT]]&gt;0,Tableau22[[#This Row],[Montant HT]]+10.71+(Tableau22[[#This Row],[Montant HT]]*Tableau22[[#This Row],[Taux de TVA]])))</f>
        <v>87.21034</v>
      </c>
      <c r="L44" s="21"/>
      <c r="M44" s="22">
        <f>Tableau22[[#This Row],[Montant TTC]]</f>
        <v>87.21034</v>
      </c>
      <c r="N44" s="21">
        <f>IF(ISERROR(Tableau22[[#This Row],[Montant TTC]]-Tableau22[[#This Row],[Versements effectués par SOUGUI]]),"",Tableau22[[#This Row],[Montant TTC]]-Tableau22[[#This Row],[Versements effectués par SOUGUI]])</f>
        <v>0</v>
      </c>
      <c r="O44" s="23" t="str">
        <f t="shared" si="3"/>
        <v>Payé</v>
      </c>
      <c r="P44" s="12"/>
      <c r="Q44" s="15"/>
      <c r="R44" s="35"/>
      <c r="S44" s="35"/>
      <c r="T44" s="15"/>
      <c r="U44" s="15"/>
    </row>
    <row r="45" spans="2:21">
      <c r="B45" s="11" t="s">
        <v>164</v>
      </c>
      <c r="C45" s="11" t="s">
        <v>164</v>
      </c>
      <c r="D45" s="11" t="s">
        <v>165</v>
      </c>
      <c r="E45" s="17">
        <v>45617</v>
      </c>
      <c r="F45" s="18">
        <v>625</v>
      </c>
      <c r="G45" s="19">
        <v>0.19</v>
      </c>
      <c r="H45" s="16">
        <v>1</v>
      </c>
      <c r="I45" s="21">
        <f>IF(Tableau22[[#This Row],[Montant HT]]="","",IF(Tableau22[[#This Row],[Montant HT]]&gt;0,Tableau22[[#This Row],[Montant TTC]]-Tableau22[[#This Row],[Montant HT]]))</f>
        <v>127.1875</v>
      </c>
      <c r="J45" s="21">
        <f>Tableau22[[#This Row],[Montant HT]]*0.01</f>
        <v>6.25</v>
      </c>
      <c r="K45" s="21">
        <f>IF(Tableau22[[#This Row],[Montant HT]]="","",IF(Tableau22[[#This Row],[Montant HT]]&gt;0,Tableau22[[#This Row],[Montant HT]]+Tableau22[[#This Row],[Timbre]]+Tableau22[[#This Row],[FODEC]]+((Tableau22[[#This Row],[Montant HT]]+Tableau22[[#This Row],[FODEC]])*Tableau22[[#This Row],[Taux de TVA]])))</f>
        <v>752.1875</v>
      </c>
      <c r="L45" s="21">
        <f>(Tableau22[[#This Row],[Montant HT]]+Tableau22[[#This Row],[Montant de la TVA]])*0.01</f>
        <v>7.521875</v>
      </c>
      <c r="M45" s="32"/>
      <c r="N45" s="33">
        <f>IF(ISERROR(Tableau22[[#This Row],[Montant TTC]]-Tableau22[[#This Row],[Versements effectués par SOUGUI]]),"",Tableau22[[#This Row],[Montant TTC]]-Tableau22[[#This Row],[Versements effectués par SOUGUI]])</f>
        <v>752.1875</v>
      </c>
      <c r="O45" s="23" t="e">
        <f>IF(Tableau22[[#This Row],[Reste dû]]&gt;0,IF(#REF!&gt;0,"Relancer",""),"")</f>
        <v>#REF!</v>
      </c>
      <c r="P45" s="17"/>
      <c r="Q45" s="36"/>
      <c r="R45" s="37"/>
      <c r="S45" s="37"/>
      <c r="T45" s="36"/>
      <c r="U45" s="38"/>
    </row>
    <row r="46" spans="2:21">
      <c r="B46" s="11" t="s">
        <v>166</v>
      </c>
      <c r="C46" s="11" t="s">
        <v>166</v>
      </c>
      <c r="D46" s="11" t="s">
        <v>167</v>
      </c>
      <c r="E46" s="17">
        <v>45617</v>
      </c>
      <c r="F46" s="18">
        <v>65.4</v>
      </c>
      <c r="G46" s="19">
        <v>0.19</v>
      </c>
      <c r="H46" s="14">
        <v>1</v>
      </c>
      <c r="I46" s="21">
        <f>IF(Tableau22[[#This Row],[Montant HT]]="","",IF(Tableau22[[#This Row],[Montant HT]]&gt;0,Tableau22[[#This Row],[Montant TTC]]-Tableau22[[#This Row],[Montant HT]]))</f>
        <v>13.426</v>
      </c>
      <c r="J46" s="21"/>
      <c r="K46" s="21">
        <f>IF(Tableau22[[#This Row],[Montant HT]]="","",IF(Tableau22[[#This Row],[Montant HT]]&gt;0,Tableau22[[#This Row],[Montant HT]]+Tableau22[[#This Row],[Timbre]]+Tableau22[[#This Row],[FODEC]]+((Tableau22[[#This Row],[Montant HT]]+Tableau22[[#This Row],[FODEC]])*Tableau22[[#This Row],[Taux de TVA]])))</f>
        <v>78.826</v>
      </c>
      <c r="L46" s="21">
        <f>(Tableau22[[#This Row],[Montant HT]]+Tableau22[[#This Row],[Montant de la TVA]])*0.01</f>
        <v>0.78826</v>
      </c>
      <c r="M46" s="32"/>
      <c r="N46" s="33">
        <f>IF(ISERROR(Tableau22[[#This Row],[Montant TTC]]-Tableau22[[#This Row],[Versements effectués par SOUGUI]]),"",Tableau22[[#This Row],[Montant TTC]]-Tableau22[[#This Row],[Versements effectués par SOUGUI]])</f>
        <v>78.826</v>
      </c>
      <c r="O46" s="23" t="e">
        <f>IF(Tableau22[[#This Row],[Reste dû]]&gt;0,IF(#REF!&gt;0,"Relancer",""),"")</f>
        <v>#REF!</v>
      </c>
      <c r="P46" s="17"/>
      <c r="Q46" s="36"/>
      <c r="R46" s="37"/>
      <c r="S46" s="37"/>
      <c r="T46" s="36"/>
      <c r="U46" s="38"/>
    </row>
    <row r="47" spans="2:21">
      <c r="B47" s="11" t="s">
        <v>168</v>
      </c>
      <c r="C47" s="11" t="s">
        <v>169</v>
      </c>
      <c r="D47" s="11" t="s">
        <v>170</v>
      </c>
      <c r="E47" s="17">
        <v>45604</v>
      </c>
      <c r="F47" s="18">
        <v>1250</v>
      </c>
      <c r="G47" s="19"/>
      <c r="H47" s="14"/>
      <c r="I47" s="21">
        <f>IF(Tableau22[[#This Row],[Montant HT]]="","",IF(Tableau22[[#This Row],[Montant HT]]&gt;0,Tableau22[[#This Row],[Montant TTC]]-Tableau22[[#This Row],[Montant HT]]))</f>
        <v>0</v>
      </c>
      <c r="J47" s="21">
        <f>Tableau22[[#This Row],[Montant HT]]*0.01</f>
        <v>12.5</v>
      </c>
      <c r="K47" s="21">
        <f>IF(Tableau22[[#This Row],[Montant HT]]="","",IF(Tableau22[[#This Row],[Montant HT]]&gt;0,Tableau22[[#This Row],[Montant HT]]+(Tableau22[[#This Row],[Montant HT]]*Tableau22[[#This Row],[Taux de TVA]])))</f>
        <v>1250</v>
      </c>
      <c r="L47" s="21">
        <f>(Tableau22[[#This Row],[Montant HT]]+Tableau22[[#This Row],[Montant de la TVA]])*0.01</f>
        <v>12.5</v>
      </c>
      <c r="M47" s="32"/>
      <c r="N47" s="33">
        <f>IF(ISERROR(Tableau22[[#This Row],[Montant TTC]]-Tableau22[[#This Row],[Versements effectués par SOUGUI]]),"",Tableau22[[#This Row],[Montant TTC]]-Tableau22[[#This Row],[Versements effectués par SOUGUI]])</f>
        <v>1250</v>
      </c>
      <c r="O47" s="23" t="e">
        <f>IF(Tableau22[[#This Row],[Reste dû]]&gt;0,IF(#REF!&gt;0,"Relancer",""),"")</f>
        <v>#REF!</v>
      </c>
      <c r="P47" s="17"/>
      <c r="Q47" s="36"/>
      <c r="R47" s="37"/>
      <c r="S47" s="37"/>
      <c r="T47" s="36"/>
      <c r="U47" s="38"/>
    </row>
    <row r="48" spans="2:21">
      <c r="B48" s="11" t="s">
        <v>166</v>
      </c>
      <c r="C48" s="11" t="s">
        <v>166</v>
      </c>
      <c r="D48" s="11" t="s">
        <v>171</v>
      </c>
      <c r="E48" s="17">
        <v>45610</v>
      </c>
      <c r="F48" s="18">
        <v>9000</v>
      </c>
      <c r="G48" s="19">
        <v>0.19</v>
      </c>
      <c r="H48" s="16">
        <v>1</v>
      </c>
      <c r="I48" s="21">
        <f>IF(Tableau22[[#This Row],[Montant HT]]="","",IF(Tableau22[[#This Row],[Montant HT]]&gt;0,Tableau22[[#This Row],[Montant TTC]]-Tableau22[[#This Row],[Montant HT]]))</f>
        <v>1711</v>
      </c>
      <c r="J48" s="21">
        <f>Tableau22[[#This Row],[Montant HT]]*0.01</f>
        <v>90</v>
      </c>
      <c r="K48" s="21">
        <f>IF(Tableau22[[#This Row],[Montant HT]]="","",IF(Tableau22[[#This Row],[Montant HT]]&gt;0,Tableau22[[#This Row],[Montant HT]]+Tableau22[[#This Row],[Timbre]]+(Tableau22[[#This Row],[Montant HT]]*Tableau22[[#This Row],[Taux de TVA]])))</f>
        <v>10711</v>
      </c>
      <c r="L48" s="21">
        <f>(Tableau22[[#This Row],[Montant HT]]+Tableau22[[#This Row],[Montant de la TVA]])*0.01</f>
        <v>107.11</v>
      </c>
      <c r="M48" s="32"/>
      <c r="N48" s="33">
        <f>IF(ISERROR(Tableau22[[#This Row],[Montant TTC]]-Tableau22[[#This Row],[Versements effectués par SOUGUI]]),"",Tableau22[[#This Row],[Montant TTC]]-Tableau22[[#This Row],[Versements effectués par SOUGUI]])</f>
        <v>10711</v>
      </c>
      <c r="O48" s="23" t="e">
        <f>IF(Tableau22[[#This Row],[Reste dû]]&gt;0,IF(#REF!&gt;0,"Relancer",""),"")</f>
        <v>#REF!</v>
      </c>
      <c r="P48" s="17"/>
      <c r="Q48" s="36"/>
      <c r="R48" s="37"/>
      <c r="S48" s="37"/>
      <c r="T48" s="36"/>
      <c r="U48" s="38"/>
    </row>
    <row r="49" spans="2:21">
      <c r="B49" s="11" t="s">
        <v>172</v>
      </c>
      <c r="C49" s="11" t="s">
        <v>172</v>
      </c>
      <c r="D49" s="11" t="s">
        <v>173</v>
      </c>
      <c r="E49" s="17">
        <v>45635</v>
      </c>
      <c r="F49" s="18">
        <v>207.5</v>
      </c>
      <c r="G49" s="19">
        <v>0.19</v>
      </c>
      <c r="H49" s="16">
        <v>1</v>
      </c>
      <c r="I49" s="21">
        <f>IF(Tableau22[[#This Row],[Montant HT]]="","",IF(Tableau22[[#This Row],[Montant HT]]&gt;0,Tableau22[[#This Row],[Montant TTC]]-Tableau22[[#This Row],[Montant HT]]))</f>
        <v>40.425</v>
      </c>
      <c r="J49" s="21"/>
      <c r="K49" s="21">
        <f>IF(Tableau22[[#This Row],[Montant HT]]="","",IF(Tableau22[[#This Row],[Montant HT]]&gt;0,Tableau22[[#This Row],[Montant HT]]+Tableau22[[#This Row],[Timbre]]+(Tableau22[[#This Row],[Montant HT]]*Tableau22[[#This Row],[Taux de TVA]])))</f>
        <v>247.925</v>
      </c>
      <c r="L49" s="21">
        <f>(Tableau22[[#This Row],[Montant HT]]+Tableau22[[#This Row],[Montant de la TVA]])*0.01</f>
        <v>2.47925</v>
      </c>
      <c r="M49" s="32"/>
      <c r="N49" s="33">
        <f>IF(ISERROR(Tableau22[[#This Row],[Montant TTC]]-Tableau22[[#This Row],[Versements effectués par SOUGUI]]),"",Tableau22[[#This Row],[Montant TTC]]-Tableau22[[#This Row],[Versements effectués par SOUGUI]])</f>
        <v>247.925</v>
      </c>
      <c r="O49" s="23" t="e">
        <f>IF(Tableau22[[#This Row],[Reste dû]]&gt;0,IF(#REF!&gt;0,"Relancer",""),"")</f>
        <v>#REF!</v>
      </c>
      <c r="P49" s="17"/>
      <c r="Q49" s="36"/>
      <c r="R49" s="37"/>
      <c r="S49" s="37"/>
      <c r="T49" s="36"/>
      <c r="U49" s="38"/>
    </row>
    <row r="50" spans="2:21">
      <c r="B50" s="11" t="s">
        <v>172</v>
      </c>
      <c r="C50" s="11" t="s">
        <v>172</v>
      </c>
      <c r="D50" s="11" t="s">
        <v>174</v>
      </c>
      <c r="E50" s="17">
        <v>45631</v>
      </c>
      <c r="F50" s="18">
        <v>1335</v>
      </c>
      <c r="G50" s="19">
        <v>0.19</v>
      </c>
      <c r="H50" s="16">
        <v>1</v>
      </c>
      <c r="I50" s="21">
        <f>IF(Tableau22[[#This Row],[Montant HT]]="","",IF(Tableau22[[#This Row],[Montant HT]]&gt;0,Tableau22[[#This Row],[Montant TTC]]-Tableau22[[#This Row],[Montant HT]]))</f>
        <v>254.65</v>
      </c>
      <c r="J50" s="21"/>
      <c r="K50" s="21">
        <f>IF(Tableau22[[#This Row],[Montant HT]]="","",IF(Tableau22[[#This Row],[Montant HT]]&gt;0,Tableau22[[#This Row],[Montant HT]]+Tableau22[[#This Row],[Timbre]]+(Tableau22[[#This Row],[Montant HT]]*Tableau22[[#This Row],[Taux de TVA]])))</f>
        <v>1589.65</v>
      </c>
      <c r="L50" s="21">
        <f>(Tableau22[[#This Row],[Montant HT]]+Tableau22[[#This Row],[Montant de la TVA]])*0.01</f>
        <v>15.8965</v>
      </c>
      <c r="M50" s="32"/>
      <c r="N50" s="33">
        <f>IF(ISERROR(Tableau22[[#This Row],[Montant TTC]]-Tableau22[[#This Row],[Versements effectués par SOUGUI]]),"",Tableau22[[#This Row],[Montant TTC]]-Tableau22[[#This Row],[Versements effectués par SOUGUI]])</f>
        <v>1589.65</v>
      </c>
      <c r="O50" s="23" t="e">
        <f>IF(Tableau22[[#This Row],[Reste dû]]&gt;0,IF(#REF!&gt;0,"Relancer",""),"")</f>
        <v>#REF!</v>
      </c>
      <c r="P50" s="17"/>
      <c r="Q50" s="36"/>
      <c r="R50" s="37"/>
      <c r="S50" s="37"/>
      <c r="T50" s="36"/>
      <c r="U50" s="38"/>
    </row>
    <row r="51" spans="2:21">
      <c r="B51" s="11" t="s">
        <v>175</v>
      </c>
      <c r="C51" s="11" t="s">
        <v>175</v>
      </c>
      <c r="D51" s="11"/>
      <c r="E51" s="17">
        <v>45631</v>
      </c>
      <c r="F51" s="18">
        <v>16095</v>
      </c>
      <c r="G51" s="19"/>
      <c r="H51" s="16"/>
      <c r="I51" s="21">
        <f>IF(Tableau22[[#This Row],[Montant HT]]="","",IF(Tableau22[[#This Row],[Montant HT]]&gt;0,Tableau22[[#This Row],[Montant TTC]]-Tableau22[[#This Row],[Montant HT]]))</f>
        <v>0</v>
      </c>
      <c r="J51" s="21">
        <f>Tableau22[[#This Row],[Montant HT]]*0.01</f>
        <v>160.95</v>
      </c>
      <c r="K51" s="21">
        <f>IF(Tableau22[[#This Row],[Montant HT]]="","",IF(Tableau22[[#This Row],[Montant HT]]&gt;0,Tableau22[[#This Row],[Montant HT]]+Tableau22[[#This Row],[Timbre]]+(Tableau22[[#This Row],[Montant HT]]*Tableau22[[#This Row],[Taux de TVA]])))</f>
        <v>16095</v>
      </c>
      <c r="L51" s="21">
        <f>(Tableau22[[#This Row],[Montant HT]]+Tableau22[[#This Row],[Montant de la TVA]])*0.01</f>
        <v>160.95</v>
      </c>
      <c r="M51" s="32"/>
      <c r="N51" s="33">
        <f>IF(ISERROR(Tableau22[[#This Row],[Montant TTC]]-Tableau22[[#This Row],[Versements effectués par SOUGUI]]),"",Tableau22[[#This Row],[Montant TTC]]-Tableau22[[#This Row],[Versements effectués par SOUGUI]])</f>
        <v>16095</v>
      </c>
      <c r="O51" s="23" t="e">
        <f>IF(Tableau22[[#This Row],[Reste dû]]&gt;0,IF(#REF!&gt;0,"Relancer",""),"")</f>
        <v>#REF!</v>
      </c>
      <c r="P51" s="17"/>
      <c r="Q51" s="36"/>
      <c r="R51" s="37"/>
      <c r="S51" s="37"/>
      <c r="T51" s="36"/>
      <c r="U51" s="38" t="s">
        <v>176</v>
      </c>
    </row>
    <row r="52" spans="2:21">
      <c r="B52" s="11" t="s">
        <v>177</v>
      </c>
      <c r="C52" s="11" t="s">
        <v>177</v>
      </c>
      <c r="D52" s="11"/>
      <c r="E52" s="17">
        <v>45663</v>
      </c>
      <c r="F52" s="18">
        <v>894</v>
      </c>
      <c r="G52" s="19"/>
      <c r="H52" s="16"/>
      <c r="I52" s="21">
        <f>IF(Tableau22[[#This Row],[Montant HT]]="","",IF(Tableau22[[#This Row],[Montant HT]]&gt;0,Tableau22[[#This Row],[Montant TTC]]-Tableau22[[#This Row],[Montant HT]]))</f>
        <v>0</v>
      </c>
      <c r="J52" s="21">
        <f>Tableau22[[#This Row],[Montant HT]]*0.01</f>
        <v>8.94</v>
      </c>
      <c r="K52" s="21">
        <f>IF(Tableau22[[#This Row],[Montant HT]]="","",IF(Tableau22[[#This Row],[Montant HT]]&gt;0,Tableau22[[#This Row],[Montant HT]]+Tableau22[[#This Row],[Timbre]]+(Tableau22[[#This Row],[Montant HT]]*Tableau22[[#This Row],[Taux de TVA]])))</f>
        <v>894</v>
      </c>
      <c r="L52" s="21">
        <f>(Tableau22[[#This Row],[Montant HT]]+Tableau22[[#This Row],[Montant de la TVA]])*0.01</f>
        <v>8.94</v>
      </c>
      <c r="M52" s="32"/>
      <c r="N52" s="33">
        <f>IF(ISERROR(Tableau22[[#This Row],[Montant TTC]]-Tableau22[[#This Row],[Versements effectués par SOUGUI]]),"",Tableau22[[#This Row],[Montant TTC]]-Tableau22[[#This Row],[Versements effectués par SOUGUI]])</f>
        <v>894</v>
      </c>
      <c r="O52" s="23" t="e">
        <f>IF(Tableau22[[#This Row],[Reste dû]]&gt;0,IF(#REF!&gt;0,"Relancer",""),"")</f>
        <v>#REF!</v>
      </c>
      <c r="P52" s="17"/>
      <c r="Q52" s="36"/>
      <c r="R52" s="37"/>
      <c r="S52" s="37"/>
      <c r="T52" s="36"/>
      <c r="U52" s="38" t="s">
        <v>178</v>
      </c>
    </row>
    <row r="53" spans="2:21">
      <c r="B53" s="11" t="s">
        <v>179</v>
      </c>
      <c r="C53" s="11" t="s">
        <v>179</v>
      </c>
      <c r="D53" s="11"/>
      <c r="E53" s="17">
        <v>45632</v>
      </c>
      <c r="F53" s="18">
        <v>1800</v>
      </c>
      <c r="G53" s="19"/>
      <c r="H53" s="16"/>
      <c r="I53" s="21">
        <f>IF(Tableau22[[#This Row],[Montant HT]]="","",IF(Tableau22[[#This Row],[Montant HT]]&gt;0,Tableau22[[#This Row],[Montant TTC]]-Tableau22[[#This Row],[Montant HT]]))</f>
        <v>0</v>
      </c>
      <c r="J53" s="21">
        <f>Tableau22[[#This Row],[Montant HT]]*0.01</f>
        <v>18</v>
      </c>
      <c r="K53" s="21">
        <f>IF(Tableau22[[#This Row],[Montant HT]]="","",IF(Tableau22[[#This Row],[Montant HT]]&gt;0,Tableau22[[#This Row],[Montant HT]]+Tableau22[[#This Row],[Timbre]]+(Tableau22[[#This Row],[Montant HT]]*Tableau22[[#This Row],[Taux de TVA]])))</f>
        <v>1800</v>
      </c>
      <c r="L53" s="21">
        <f>(Tableau22[[#This Row],[Montant HT]]+Tableau22[[#This Row],[Montant de la TVA]])*0.01</f>
        <v>18</v>
      </c>
      <c r="M53" s="32"/>
      <c r="N53" s="33">
        <f>IF(ISERROR(Tableau22[[#This Row],[Montant TTC]]-Tableau22[[#This Row],[Versements effectués par SOUGUI]]),"",Tableau22[[#This Row],[Montant TTC]]-Tableau22[[#This Row],[Versements effectués par SOUGUI]])</f>
        <v>1800</v>
      </c>
      <c r="O53" s="23" t="e">
        <f>IF(Tableau22[[#This Row],[Reste dû]]&gt;0,IF(#REF!&gt;0,"Relancer",""),"")</f>
        <v>#REF!</v>
      </c>
      <c r="P53" s="17"/>
      <c r="Q53" s="36"/>
      <c r="R53" s="37"/>
      <c r="S53" s="37"/>
      <c r="T53" s="36"/>
      <c r="U53" s="38" t="s">
        <v>180</v>
      </c>
    </row>
    <row r="54" spans="2:21">
      <c r="B54" s="11" t="s">
        <v>181</v>
      </c>
      <c r="C54" s="11" t="s">
        <v>181</v>
      </c>
      <c r="D54" s="11"/>
      <c r="E54" s="17">
        <v>45632</v>
      </c>
      <c r="F54" s="18">
        <v>440</v>
      </c>
      <c r="G54" s="19"/>
      <c r="H54" s="16"/>
      <c r="I54" s="21">
        <f>IF(Tableau22[[#This Row],[Montant HT]]="","",IF(Tableau22[[#This Row],[Montant HT]]&gt;0,Tableau22[[#This Row],[Montant TTC]]-Tableau22[[#This Row],[Montant HT]]))</f>
        <v>0</v>
      </c>
      <c r="J54" s="21">
        <f>Tableau22[[#This Row],[Montant HT]]*0.01</f>
        <v>4.4</v>
      </c>
      <c r="K54" s="21">
        <f>IF(Tableau22[[#This Row],[Montant HT]]="","",IF(Tableau22[[#This Row],[Montant HT]]&gt;0,Tableau22[[#This Row],[Montant HT]]+Tableau22[[#This Row],[Timbre]]+(Tableau22[[#This Row],[Montant HT]]*Tableau22[[#This Row],[Taux de TVA]])))</f>
        <v>440</v>
      </c>
      <c r="L54" s="21">
        <f>(Tableau22[[#This Row],[Montant HT]]+Tableau22[[#This Row],[Montant de la TVA]])*0.01</f>
        <v>4.4</v>
      </c>
      <c r="M54" s="32"/>
      <c r="N54" s="33">
        <f>IF(ISERROR(Tableau22[[#This Row],[Montant TTC]]-Tableau22[[#This Row],[Versements effectués par SOUGUI]]),"",Tableau22[[#This Row],[Montant TTC]]-Tableau22[[#This Row],[Versements effectués par SOUGUI]])</f>
        <v>440</v>
      </c>
      <c r="O54" s="23" t="e">
        <f>IF(Tableau22[[#This Row],[Reste dû]]&gt;0,IF(#REF!&gt;0,"Relancer",""),"")</f>
        <v>#REF!</v>
      </c>
      <c r="P54" s="17"/>
      <c r="Q54" s="36"/>
      <c r="R54" s="37"/>
      <c r="S54" s="37"/>
      <c r="T54" s="36"/>
      <c r="U54" s="38"/>
    </row>
    <row r="55" spans="2:21">
      <c r="B55" s="11" t="s">
        <v>182</v>
      </c>
      <c r="C55" s="11" t="s">
        <v>182</v>
      </c>
      <c r="D55" s="11"/>
      <c r="E55" s="17">
        <v>45651</v>
      </c>
      <c r="F55" s="18">
        <v>230</v>
      </c>
      <c r="G55" s="19"/>
      <c r="H55" s="16"/>
      <c r="I55" s="21">
        <f>IF(Tableau22[[#This Row],[Montant HT]]="","",IF(Tableau22[[#This Row],[Montant HT]]&gt;0,Tableau22[[#This Row],[Montant TTC]]-Tableau22[[#This Row],[Montant HT]]))</f>
        <v>0</v>
      </c>
      <c r="J55" s="21">
        <f>Tableau22[[#This Row],[Montant HT]]*0.01</f>
        <v>2.3</v>
      </c>
      <c r="K55" s="21">
        <f>IF(Tableau22[[#This Row],[Montant HT]]="","",IF(Tableau22[[#This Row],[Montant HT]]&gt;0,Tableau22[[#This Row],[Montant HT]]+Tableau22[[#This Row],[Timbre]]+(Tableau22[[#This Row],[Montant HT]]*Tableau22[[#This Row],[Taux de TVA]])))</f>
        <v>230</v>
      </c>
      <c r="L55" s="21">
        <f>(Tableau22[[#This Row],[Montant HT]]+Tableau22[[#This Row],[Montant de la TVA]])*0.01</f>
        <v>2.3</v>
      </c>
      <c r="M55" s="32"/>
      <c r="N55" s="33">
        <f>IF(ISERROR(Tableau22[[#This Row],[Montant TTC]]-Tableau22[[#This Row],[Versements effectués par SOUGUI]]),"",Tableau22[[#This Row],[Montant TTC]]-Tableau22[[#This Row],[Versements effectués par SOUGUI]])</f>
        <v>230</v>
      </c>
      <c r="O55" s="23" t="e">
        <f>IF(Tableau22[[#This Row],[Reste dû]]&gt;0,IF(#REF!&gt;0,"Relancer",""),"")</f>
        <v>#REF!</v>
      </c>
      <c r="P55" s="17"/>
      <c r="Q55" s="36"/>
      <c r="R55" s="37"/>
      <c r="S55" s="37"/>
      <c r="T55" s="36"/>
      <c r="U55" s="38"/>
    </row>
    <row r="56" spans="2:21">
      <c r="B56" s="11" t="s">
        <v>183</v>
      </c>
      <c r="C56" s="11" t="s">
        <v>183</v>
      </c>
      <c r="D56" s="11"/>
      <c r="E56" s="17">
        <v>45657</v>
      </c>
      <c r="F56" s="18">
        <v>420</v>
      </c>
      <c r="G56" s="19"/>
      <c r="H56" s="16"/>
      <c r="I56" s="21">
        <f>IF(Tableau22[[#This Row],[Montant HT]]="","",IF(Tableau22[[#This Row],[Montant HT]]&gt;0,Tableau22[[#This Row],[Montant TTC]]-Tableau22[[#This Row],[Montant HT]]))</f>
        <v>0</v>
      </c>
      <c r="J56" s="21">
        <f>Tableau22[[#This Row],[Montant HT]]*0.01</f>
        <v>4.2</v>
      </c>
      <c r="K56" s="21">
        <f>IF(Tableau22[[#This Row],[Montant HT]]="","",IF(Tableau22[[#This Row],[Montant HT]]&gt;0,Tableau22[[#This Row],[Montant HT]]+Tableau22[[#This Row],[Timbre]]+(Tableau22[[#This Row],[Montant HT]]*Tableau22[[#This Row],[Taux de TVA]])))</f>
        <v>420</v>
      </c>
      <c r="L56" s="21">
        <f>(Tableau22[[#This Row],[Montant HT]]+Tableau22[[#This Row],[Montant de la TVA]])*0.01</f>
        <v>4.2</v>
      </c>
      <c r="M56" s="32"/>
      <c r="N56" s="33">
        <f>IF(ISERROR(Tableau22[[#This Row],[Montant TTC]]-Tableau22[[#This Row],[Versements effectués par SOUGUI]]),"",Tableau22[[#This Row],[Montant TTC]]-Tableau22[[#This Row],[Versements effectués par SOUGUI]])</f>
        <v>420</v>
      </c>
      <c r="O56" s="23" t="e">
        <f>IF(Tableau22[[#This Row],[Reste dû]]&gt;0,IF(#REF!&gt;0,"Relancer",""),"")</f>
        <v>#REF!</v>
      </c>
      <c r="P56" s="17"/>
      <c r="Q56" s="36"/>
      <c r="R56" s="37"/>
      <c r="S56" s="37"/>
      <c r="T56" s="36"/>
      <c r="U56" s="38"/>
    </row>
    <row r="57" spans="2:21">
      <c r="B57" s="11" t="s">
        <v>184</v>
      </c>
      <c r="C57" s="11" t="s">
        <v>184</v>
      </c>
      <c r="D57" s="11"/>
      <c r="E57" s="17">
        <v>45352</v>
      </c>
      <c r="F57" s="18">
        <v>550</v>
      </c>
      <c r="G57" s="19"/>
      <c r="H57" s="16"/>
      <c r="I57" s="21">
        <f>IF(Tableau22[[#This Row],[Montant HT]]="","",IF(Tableau22[[#This Row],[Montant HT]]&gt;0,Tableau22[[#This Row],[Montant TTC]]-Tableau22[[#This Row],[Montant HT]]))</f>
        <v>0</v>
      </c>
      <c r="J57" s="21">
        <f>Tableau22[[#This Row],[Montant HT]]*0.01</f>
        <v>5.5</v>
      </c>
      <c r="K57" s="21">
        <f>IF(Tableau22[[#This Row],[Montant HT]]="","",IF(Tableau22[[#This Row],[Montant HT]]&gt;0,Tableau22[[#This Row],[Montant HT]]+Tableau22[[#This Row],[Timbre]]+(Tableau22[[#This Row],[Montant HT]]*Tableau22[[#This Row],[Taux de TVA]])))</f>
        <v>550</v>
      </c>
      <c r="L57" s="21">
        <f>(Tableau22[[#This Row],[Montant HT]]+Tableau22[[#This Row],[Montant de la TVA]])*0.01</f>
        <v>5.5</v>
      </c>
      <c r="M57" s="32"/>
      <c r="N57" s="33">
        <f>IF(ISERROR(Tableau22[[#This Row],[Montant TTC]]-Tableau22[[#This Row],[Versements effectués par SOUGUI]]),"",Tableau22[[#This Row],[Montant TTC]]-Tableau22[[#This Row],[Versements effectués par SOUGUI]])</f>
        <v>550</v>
      </c>
      <c r="O57" s="23" t="e">
        <f>IF(Tableau22[[#This Row],[Reste dû]]&gt;0,IF(#REF!&gt;0,"Relancer",""),"")</f>
        <v>#REF!</v>
      </c>
      <c r="P57" s="17"/>
      <c r="Q57" s="36"/>
      <c r="R57" s="37"/>
      <c r="S57" s="37"/>
      <c r="T57" s="36"/>
      <c r="U57" s="38" t="s">
        <v>185</v>
      </c>
    </row>
    <row r="58" spans="2:21">
      <c r="B58" s="11" t="s">
        <v>186</v>
      </c>
      <c r="C58" s="11" t="s">
        <v>187</v>
      </c>
      <c r="D58" s="11"/>
      <c r="E58" s="17">
        <v>45359</v>
      </c>
      <c r="F58" s="18">
        <v>250</v>
      </c>
      <c r="G58" s="19"/>
      <c r="H58" s="16"/>
      <c r="I58" s="21">
        <f>IF(Tableau22[[#This Row],[Montant HT]]="","",IF(Tableau22[[#This Row],[Montant HT]]&gt;0,Tableau22[[#This Row],[Montant TTC]]-Tableau22[[#This Row],[Montant HT]]))</f>
        <v>0</v>
      </c>
      <c r="J58" s="21">
        <f>Tableau22[[#This Row],[Montant HT]]*0.01</f>
        <v>2.5</v>
      </c>
      <c r="K58" s="21">
        <f>IF(Tableau22[[#This Row],[Montant HT]]="","",IF(Tableau22[[#This Row],[Montant HT]]&gt;0,Tableau22[[#This Row],[Montant HT]]+Tableau22[[#This Row],[Timbre]]+(Tableau22[[#This Row],[Montant HT]]*Tableau22[[#This Row],[Taux de TVA]])))</f>
        <v>250</v>
      </c>
      <c r="L58" s="21">
        <f>(Tableau22[[#This Row],[Montant HT]]+Tableau22[[#This Row],[Montant de la TVA]])*0.01</f>
        <v>2.5</v>
      </c>
      <c r="M58" s="32"/>
      <c r="N58" s="33">
        <f>IF(ISERROR(Tableau22[[#This Row],[Montant TTC]]-Tableau22[[#This Row],[Versements effectués par SOUGUI]]),"",Tableau22[[#This Row],[Montant TTC]]-Tableau22[[#This Row],[Versements effectués par SOUGUI]])</f>
        <v>250</v>
      </c>
      <c r="O58" s="23" t="e">
        <f>IF(Tableau22[[#This Row],[Reste dû]]&gt;0,IF(#REF!&gt;0,"Relancer",""),"")</f>
        <v>#REF!</v>
      </c>
      <c r="P58" s="17"/>
      <c r="Q58" s="36"/>
      <c r="R58" s="37"/>
      <c r="S58" s="37"/>
      <c r="T58" s="36"/>
      <c r="U58" s="38"/>
    </row>
    <row r="59" spans="2:21">
      <c r="B59" s="11" t="s">
        <v>188</v>
      </c>
      <c r="C59" s="11" t="s">
        <v>188</v>
      </c>
      <c r="D59" s="11"/>
      <c r="E59" s="17">
        <v>45651</v>
      </c>
      <c r="F59" s="18">
        <v>900</v>
      </c>
      <c r="G59" s="19"/>
      <c r="H59" s="16"/>
      <c r="I59" s="21">
        <f>IF(Tableau22[[#This Row],[Montant HT]]="","",IF(Tableau22[[#This Row],[Montant HT]]&gt;0,Tableau22[[#This Row],[Montant TTC]]-Tableau22[[#This Row],[Montant HT]]))</f>
        <v>0</v>
      </c>
      <c r="J59" s="21">
        <f>Tableau22[[#This Row],[Montant HT]]*0.01</f>
        <v>9</v>
      </c>
      <c r="K59" s="21">
        <f>IF(Tableau22[[#This Row],[Montant HT]]="","",IF(Tableau22[[#This Row],[Montant HT]]&gt;0,Tableau22[[#This Row],[Montant HT]]+Tableau22[[#This Row],[Timbre]]+(Tableau22[[#This Row],[Montant HT]]*Tableau22[[#This Row],[Taux de TVA]])))</f>
        <v>900</v>
      </c>
      <c r="L59" s="21">
        <f>(Tableau22[[#This Row],[Montant HT]]+Tableau22[[#This Row],[Montant de la TVA]])*0.01</f>
        <v>9</v>
      </c>
      <c r="M59" s="32"/>
      <c r="N59" s="33">
        <f>IF(ISERROR(Tableau22[[#This Row],[Montant TTC]]-Tableau22[[#This Row],[Versements effectués par SOUGUI]]),"",Tableau22[[#This Row],[Montant TTC]]-Tableau22[[#This Row],[Versements effectués par SOUGUI]])</f>
        <v>900</v>
      </c>
      <c r="O59" s="23" t="e">
        <f>IF(Tableau22[[#This Row],[Reste dû]]&gt;0,IF(#REF!&gt;0,"Relancer",""),"")</f>
        <v>#REF!</v>
      </c>
      <c r="P59" s="17"/>
      <c r="Q59" s="36"/>
      <c r="R59" s="37"/>
      <c r="S59" s="37"/>
      <c r="T59" s="36"/>
      <c r="U59" s="38" t="s">
        <v>189</v>
      </c>
    </row>
    <row r="60" spans="2:21">
      <c r="B60" s="11" t="s">
        <v>190</v>
      </c>
      <c r="C60" s="11" t="s">
        <v>190</v>
      </c>
      <c r="D60" s="11"/>
      <c r="E60" s="17">
        <v>45663</v>
      </c>
      <c r="F60" s="18">
        <v>818</v>
      </c>
      <c r="G60" s="19"/>
      <c r="H60" s="16"/>
      <c r="I60" s="21">
        <f>IF(Tableau22[[#This Row],[Montant HT]]="","",IF(Tableau22[[#This Row],[Montant HT]]&gt;0,Tableau22[[#This Row],[Montant TTC]]-Tableau22[[#This Row],[Montant HT]]))</f>
        <v>0</v>
      </c>
      <c r="J60" s="21">
        <f>Tableau22[[#This Row],[Montant HT]]*0.01</f>
        <v>8.18</v>
      </c>
      <c r="K60" s="21">
        <f>IF(Tableau22[[#This Row],[Montant HT]]="","",IF(Tableau22[[#This Row],[Montant HT]]&gt;0,Tableau22[[#This Row],[Montant HT]]+Tableau22[[#This Row],[Timbre]]+(Tableau22[[#This Row],[Montant HT]]*Tableau22[[#This Row],[Taux de TVA]])))</f>
        <v>818</v>
      </c>
      <c r="L60" s="21">
        <f>(Tableau22[[#This Row],[Montant HT]]+Tableau22[[#This Row],[Montant de la TVA]])*0.01</f>
        <v>8.18</v>
      </c>
      <c r="M60" s="32"/>
      <c r="N60" s="33">
        <f>IF(ISERROR(Tableau22[[#This Row],[Montant TTC]]-Tableau22[[#This Row],[Versements effectués par SOUGUI]]),"",Tableau22[[#This Row],[Montant TTC]]-Tableau22[[#This Row],[Versements effectués par SOUGUI]])</f>
        <v>818</v>
      </c>
      <c r="O60" s="23" t="e">
        <f>IF(Tableau22[[#This Row],[Reste dû]]&gt;0,IF(#REF!&gt;0,"Relancer",""),"")</f>
        <v>#REF!</v>
      </c>
      <c r="P60" s="17"/>
      <c r="Q60" s="36"/>
      <c r="R60" s="37"/>
      <c r="S60" s="37"/>
      <c r="T60" s="36"/>
      <c r="U60" s="38" t="s">
        <v>191</v>
      </c>
    </row>
    <row r="61" spans="2:21">
      <c r="B61" s="11" t="s">
        <v>126</v>
      </c>
      <c r="C61" s="11" t="s">
        <v>126</v>
      </c>
      <c r="D61" s="11"/>
      <c r="E61" s="17">
        <v>45648</v>
      </c>
      <c r="F61" s="18">
        <v>830</v>
      </c>
      <c r="G61" s="19">
        <v>0.07</v>
      </c>
      <c r="H61" s="16">
        <v>1</v>
      </c>
      <c r="I61" s="21">
        <f>IF(Tableau22[[#This Row],[Montant HT]]="","",IF(Tableau22[[#This Row],[Montant HT]]&gt;0,Tableau22[[#This Row],[Montant TTC]]-Tableau22[[#This Row],[Montant HT]]))</f>
        <v>59.1</v>
      </c>
      <c r="J61" s="21">
        <f>Tableau22[[#This Row],[Montant HT]]*0.01</f>
        <v>8.3</v>
      </c>
      <c r="K61" s="21">
        <f>IF(Tableau22[[#This Row],[Montant HT]]="","",IF(Tableau22[[#This Row],[Montant HT]]&gt;0,Tableau22[[#This Row],[Montant HT]]+Tableau22[[#This Row],[Timbre]]+(Tableau22[[#This Row],[Montant HT]]*Tableau22[[#This Row],[Taux de TVA]])))</f>
        <v>889.1</v>
      </c>
      <c r="L61" s="21">
        <f>(Tableau22[[#This Row],[Montant HT]]+Tableau22[[#This Row],[Montant de la TVA]])*0.01</f>
        <v>8.891</v>
      </c>
      <c r="M61" s="32"/>
      <c r="N61" s="33">
        <f>IF(ISERROR(Tableau22[[#This Row],[Montant TTC]]-Tableau22[[#This Row],[Versements effectués par SOUGUI]]),"",Tableau22[[#This Row],[Montant TTC]]-Tableau22[[#This Row],[Versements effectués par SOUGUI]])</f>
        <v>889.1</v>
      </c>
      <c r="O61" s="23" t="e">
        <f>IF(Tableau22[[#This Row],[Reste dû]]&gt;0,IF(#REF!&gt;0,"Relancer",""),"")</f>
        <v>#REF!</v>
      </c>
      <c r="P61" s="17"/>
      <c r="Q61" s="36"/>
      <c r="R61" s="37"/>
      <c r="S61" s="37"/>
      <c r="T61" s="36"/>
      <c r="U61" s="38" t="s">
        <v>192</v>
      </c>
    </row>
    <row r="62" spans="2:21">
      <c r="B62" s="11" t="s">
        <v>184</v>
      </c>
      <c r="C62" s="11" t="s">
        <v>193</v>
      </c>
      <c r="D62" s="11"/>
      <c r="E62" s="17">
        <v>45657</v>
      </c>
      <c r="F62" s="18">
        <v>90</v>
      </c>
      <c r="G62" s="19"/>
      <c r="H62" s="16"/>
      <c r="I62" s="21">
        <f>IF(Tableau22[[#This Row],[Montant HT]]="","",IF(Tableau22[[#This Row],[Montant HT]]&gt;0,Tableau22[[#This Row],[Montant TTC]]-Tableau22[[#This Row],[Montant HT]]))</f>
        <v>0</v>
      </c>
      <c r="J62" s="21">
        <f>Tableau22[[#This Row],[Montant HT]]*0.01</f>
        <v>0.9</v>
      </c>
      <c r="K62" s="21">
        <f>IF(Tableau22[[#This Row],[Montant HT]]="","",IF(Tableau22[[#This Row],[Montant HT]]&gt;0,Tableau22[[#This Row],[Montant HT]]+Tableau22[[#This Row],[Timbre]]+(Tableau22[[#This Row],[Montant HT]]*Tableau22[[#This Row],[Taux de TVA]])))</f>
        <v>90</v>
      </c>
      <c r="L62" s="21">
        <f>(Tableau22[[#This Row],[Montant HT]]+Tableau22[[#This Row],[Montant de la TVA]])*0.01</f>
        <v>0.9</v>
      </c>
      <c r="M62" s="32"/>
      <c r="N62" s="33">
        <f>IF(ISERROR(Tableau22[[#This Row],[Montant TTC]]-Tableau22[[#This Row],[Versements effectués par SOUGUI]]),"",Tableau22[[#This Row],[Montant TTC]]-Tableau22[[#This Row],[Versements effectués par SOUGUI]])</f>
        <v>90</v>
      </c>
      <c r="O62" s="23" t="e">
        <f>IF(Tableau22[[#This Row],[Reste dû]]&gt;0,IF(#REF!&gt;0,"Relancer",""),"")</f>
        <v>#REF!</v>
      </c>
      <c r="P62" s="17"/>
      <c r="Q62" s="36"/>
      <c r="R62" s="37"/>
      <c r="S62" s="37"/>
      <c r="T62" s="36"/>
      <c r="U62" s="38"/>
    </row>
    <row r="63" spans="2:21">
      <c r="B63" s="11" t="s">
        <v>143</v>
      </c>
      <c r="C63" s="11" t="s">
        <v>143</v>
      </c>
      <c r="D63" s="11"/>
      <c r="E63" s="17">
        <v>45611</v>
      </c>
      <c r="F63" s="18">
        <v>90</v>
      </c>
      <c r="G63" s="19"/>
      <c r="H63" s="16"/>
      <c r="I63" s="21">
        <f>IF(Tableau22[[#This Row],[Montant HT]]="","",IF(Tableau22[[#This Row],[Montant HT]]&gt;0,Tableau22[[#This Row],[Montant TTC]]-Tableau22[[#This Row],[Montant HT]]))</f>
        <v>0</v>
      </c>
      <c r="J63" s="21">
        <f>Tableau22[[#This Row],[Montant HT]]*0.01</f>
        <v>0.9</v>
      </c>
      <c r="K63" s="21">
        <f>IF(Tableau22[[#This Row],[Montant HT]]="","",IF(Tableau22[[#This Row],[Montant HT]]&gt;0,Tableau22[[#This Row],[Montant HT]]+Tableau22[[#This Row],[Timbre]]+(Tableau22[[#This Row],[Montant HT]]*Tableau22[[#This Row],[Taux de TVA]])))</f>
        <v>90</v>
      </c>
      <c r="L63" s="21">
        <f>(Tableau22[[#This Row],[Montant HT]]+Tableau22[[#This Row],[Montant de la TVA]])*0.01</f>
        <v>0.9</v>
      </c>
      <c r="M63" s="32"/>
      <c r="N63" s="33">
        <f>IF(ISERROR(Tableau22[[#This Row],[Montant TTC]]-Tableau22[[#This Row],[Versements effectués par SOUGUI]]),"",Tableau22[[#This Row],[Montant TTC]]-Tableau22[[#This Row],[Versements effectués par SOUGUI]])</f>
        <v>90</v>
      </c>
      <c r="O63" s="23" t="e">
        <f>IF(Tableau22[[#This Row],[Reste dû]]&gt;0,IF(#REF!&gt;0,"Relancer",""),"")</f>
        <v>#REF!</v>
      </c>
      <c r="P63" s="17"/>
      <c r="Q63" s="36"/>
      <c r="R63" s="37"/>
      <c r="S63" s="37"/>
      <c r="T63" s="36"/>
      <c r="U63" s="38"/>
    </row>
    <row r="64" spans="2:21">
      <c r="B64" s="11" t="s">
        <v>126</v>
      </c>
      <c r="C64" s="11" t="s">
        <v>126</v>
      </c>
      <c r="D64" s="11"/>
      <c r="E64" s="17">
        <v>45597</v>
      </c>
      <c r="F64" s="18">
        <v>125</v>
      </c>
      <c r="G64" s="19"/>
      <c r="H64" s="16"/>
      <c r="I64" s="21">
        <f>IF(Tableau22[[#This Row],[Montant HT]]="","",IF(Tableau22[[#This Row],[Montant HT]]&gt;0,Tableau22[[#This Row],[Montant TTC]]-Tableau22[[#This Row],[Montant HT]]))</f>
        <v>0</v>
      </c>
      <c r="J64" s="21">
        <f>Tableau22[[#This Row],[Montant HT]]*0.01</f>
        <v>1.25</v>
      </c>
      <c r="K64" s="21">
        <f>IF(Tableau22[[#This Row],[Montant HT]]="","",IF(Tableau22[[#This Row],[Montant HT]]&gt;0,Tableau22[[#This Row],[Montant HT]]+Tableau22[[#This Row],[Timbre]]+(Tableau22[[#This Row],[Montant HT]]*Tableau22[[#This Row],[Taux de TVA]])))</f>
        <v>125</v>
      </c>
      <c r="L64" s="21">
        <f>(Tableau22[[#This Row],[Montant HT]]+Tableau22[[#This Row],[Montant de la TVA]])*0.01</f>
        <v>1.25</v>
      </c>
      <c r="M64" s="32"/>
      <c r="N64" s="33">
        <f>IF(ISERROR(Tableau22[[#This Row],[Montant TTC]]-Tableau22[[#This Row],[Versements effectués par SOUGUI]]),"",Tableau22[[#This Row],[Montant TTC]]-Tableau22[[#This Row],[Versements effectués par SOUGUI]])</f>
        <v>125</v>
      </c>
      <c r="O64" s="23" t="e">
        <f>IF(Tableau22[[#This Row],[Reste dû]]&gt;0,IF(#REF!&gt;0,"Relancer",""),"")</f>
        <v>#REF!</v>
      </c>
      <c r="P64" s="17"/>
      <c r="Q64" s="36"/>
      <c r="R64" s="37"/>
      <c r="S64" s="37"/>
      <c r="T64" s="36"/>
      <c r="U64" s="38"/>
    </row>
    <row r="65" spans="2:21">
      <c r="B65" s="11" t="s">
        <v>194</v>
      </c>
      <c r="C65" s="11" t="s">
        <v>194</v>
      </c>
      <c r="D65" s="11"/>
      <c r="E65" s="17">
        <v>45566</v>
      </c>
      <c r="F65" s="18">
        <v>140</v>
      </c>
      <c r="G65" s="19"/>
      <c r="H65" s="16"/>
      <c r="I65" s="21">
        <f>IF(Tableau22[[#This Row],[Montant HT]]="","",IF(Tableau22[[#This Row],[Montant HT]]&gt;0,Tableau22[[#This Row],[Montant TTC]]-Tableau22[[#This Row],[Montant HT]]))</f>
        <v>0</v>
      </c>
      <c r="J65" s="21">
        <f>Tableau22[[#This Row],[Montant HT]]*0.01</f>
        <v>1.4</v>
      </c>
      <c r="K65" s="21">
        <f>IF(Tableau22[[#This Row],[Montant HT]]="","",IF(Tableau22[[#This Row],[Montant HT]]&gt;0,Tableau22[[#This Row],[Montant HT]]+Tableau22[[#This Row],[Timbre]]+(Tableau22[[#This Row],[Montant HT]]*Tableau22[[#This Row],[Taux de TVA]])))</f>
        <v>140</v>
      </c>
      <c r="L65" s="21">
        <f>(Tableau22[[#This Row],[Montant HT]]+Tableau22[[#This Row],[Montant de la TVA]])*0.01</f>
        <v>1.4</v>
      </c>
      <c r="M65" s="32"/>
      <c r="N65" s="33">
        <f>IF(ISERROR(Tableau22[[#This Row],[Montant TTC]]-Tableau22[[#This Row],[Versements effectués par SOUGUI]]),"",Tableau22[[#This Row],[Montant TTC]]-Tableau22[[#This Row],[Versements effectués par SOUGUI]])</f>
        <v>140</v>
      </c>
      <c r="O65" s="23" t="e">
        <f>IF(Tableau22[[#This Row],[Reste dû]]&gt;0,IF(#REF!&gt;0,"Relancer",""),"")</f>
        <v>#REF!</v>
      </c>
      <c r="P65" s="17"/>
      <c r="Q65" s="36"/>
      <c r="R65" s="37"/>
      <c r="S65" s="37"/>
      <c r="T65" s="36"/>
      <c r="U65" s="38"/>
    </row>
    <row r="66" spans="2:21">
      <c r="B66" s="11" t="s">
        <v>194</v>
      </c>
      <c r="C66" s="11" t="s">
        <v>194</v>
      </c>
      <c r="D66" s="11"/>
      <c r="E66" s="17">
        <v>45597</v>
      </c>
      <c r="F66" s="18">
        <v>75</v>
      </c>
      <c r="G66" s="19"/>
      <c r="H66" s="16"/>
      <c r="I66" s="21">
        <f>IF(Tableau22[[#This Row],[Montant HT]]="","",IF(Tableau22[[#This Row],[Montant HT]]&gt;0,Tableau22[[#This Row],[Montant TTC]]-Tableau22[[#This Row],[Montant HT]]))</f>
        <v>0</v>
      </c>
      <c r="J66" s="21">
        <f>Tableau22[[#This Row],[Montant HT]]*0.01</f>
        <v>0.75</v>
      </c>
      <c r="K66" s="21">
        <f>IF(Tableau22[[#This Row],[Montant HT]]="","",IF(Tableau22[[#This Row],[Montant HT]]&gt;0,Tableau22[[#This Row],[Montant HT]]+Tableau22[[#This Row],[Timbre]]+(Tableau22[[#This Row],[Montant HT]]*Tableau22[[#This Row],[Taux de TVA]])))</f>
        <v>75</v>
      </c>
      <c r="L66" s="21">
        <f>(Tableau22[[#This Row],[Montant HT]]+Tableau22[[#This Row],[Montant de la TVA]])*0.01</f>
        <v>0.75</v>
      </c>
      <c r="M66" s="32"/>
      <c r="N66" s="33">
        <f>IF(ISERROR(Tableau22[[#This Row],[Montant TTC]]-Tableau22[[#This Row],[Versements effectués par SOUGUI]]),"",Tableau22[[#This Row],[Montant TTC]]-Tableau22[[#This Row],[Versements effectués par SOUGUI]])</f>
        <v>75</v>
      </c>
      <c r="O66" s="23" t="e">
        <f>IF(Tableau22[[#This Row],[Reste dû]]&gt;0,IF(#REF!&gt;0,"Relancer",""),"")</f>
        <v>#REF!</v>
      </c>
      <c r="P66" s="17"/>
      <c r="Q66" s="36"/>
      <c r="R66" s="37"/>
      <c r="S66" s="37"/>
      <c r="T66" s="36"/>
      <c r="U66" s="38"/>
    </row>
    <row r="67" spans="2:21">
      <c r="B67" s="11" t="s">
        <v>177</v>
      </c>
      <c r="C67" s="11" t="s">
        <v>177</v>
      </c>
      <c r="D67" s="11"/>
      <c r="E67" s="17">
        <v>45566</v>
      </c>
      <c r="F67" s="18">
        <v>30</v>
      </c>
      <c r="G67" s="19"/>
      <c r="H67" s="16"/>
      <c r="I67" s="21">
        <f>IF(Tableau22[[#This Row],[Montant HT]]="","",IF(Tableau22[[#This Row],[Montant HT]]&gt;0,Tableau22[[#This Row],[Montant TTC]]-Tableau22[[#This Row],[Montant HT]]))</f>
        <v>0</v>
      </c>
      <c r="J67" s="21">
        <f>Tableau22[[#This Row],[Montant HT]]*0.01</f>
        <v>0.3</v>
      </c>
      <c r="K67" s="21">
        <f>IF(Tableau22[[#This Row],[Montant HT]]="","",IF(Tableau22[[#This Row],[Montant HT]]&gt;0,Tableau22[[#This Row],[Montant HT]]+Tableau22[[#This Row],[Timbre]]+(Tableau22[[#This Row],[Montant HT]]*Tableau22[[#This Row],[Taux de TVA]])))</f>
        <v>30</v>
      </c>
      <c r="L67" s="21">
        <f>(Tableau22[[#This Row],[Montant HT]]+Tableau22[[#This Row],[Montant de la TVA]])*0.01</f>
        <v>0.3</v>
      </c>
      <c r="M67" s="32"/>
      <c r="N67" s="33">
        <f>IF(ISERROR(Tableau22[[#This Row],[Montant TTC]]-Tableau22[[#This Row],[Versements effectués par SOUGUI]]),"",Tableau22[[#This Row],[Montant TTC]]-Tableau22[[#This Row],[Versements effectués par SOUGUI]])</f>
        <v>30</v>
      </c>
      <c r="O67" s="23" t="e">
        <f>IF(Tableau22[[#This Row],[Reste dû]]&gt;0,IF(#REF!&gt;0,"Relancer",""),"")</f>
        <v>#REF!</v>
      </c>
      <c r="P67" s="17"/>
      <c r="Q67" s="36"/>
      <c r="R67" s="37"/>
      <c r="S67" s="37"/>
      <c r="T67" s="36"/>
      <c r="U67" s="38"/>
    </row>
    <row r="68" spans="2:21">
      <c r="B68" s="11" t="s">
        <v>195</v>
      </c>
      <c r="C68" s="11" t="s">
        <v>195</v>
      </c>
      <c r="D68" s="11"/>
      <c r="E68" s="17">
        <v>45657</v>
      </c>
      <c r="F68" s="18">
        <v>200</v>
      </c>
      <c r="G68" s="19"/>
      <c r="H68" s="16"/>
      <c r="I68" s="21">
        <f>IF(Tableau22[[#This Row],[Montant HT]]="","",IF(Tableau22[[#This Row],[Montant HT]]&gt;0,Tableau22[[#This Row],[Montant TTC]]-Tableau22[[#This Row],[Montant HT]]))</f>
        <v>0</v>
      </c>
      <c r="J68" s="21">
        <f>Tableau22[[#This Row],[Montant HT]]*0.01</f>
        <v>2</v>
      </c>
      <c r="K68" s="21">
        <f>IF(Tableau22[[#This Row],[Montant HT]]="","",IF(Tableau22[[#This Row],[Montant HT]]&gt;0,Tableau22[[#This Row],[Montant HT]]+Tableau22[[#This Row],[Timbre]]+(Tableau22[[#This Row],[Montant HT]]*Tableau22[[#This Row],[Taux de TVA]])))</f>
        <v>200</v>
      </c>
      <c r="L68" s="21">
        <f>(Tableau22[[#This Row],[Montant HT]]+Tableau22[[#This Row],[Montant de la TVA]])*0.01</f>
        <v>2</v>
      </c>
      <c r="M68" s="32"/>
      <c r="N68" s="33">
        <f>IF(ISERROR(Tableau22[[#This Row],[Montant TTC]]-Tableau22[[#This Row],[Versements effectués par SOUGUI]]),"",Tableau22[[#This Row],[Montant TTC]]-Tableau22[[#This Row],[Versements effectués par SOUGUI]])</f>
        <v>200</v>
      </c>
      <c r="O68" s="23" t="e">
        <f>IF(Tableau22[[#This Row],[Reste dû]]&gt;0,IF(#REF!&gt;0,"Relancer",""),"")</f>
        <v>#REF!</v>
      </c>
      <c r="P68" s="17"/>
      <c r="Q68" s="36"/>
      <c r="R68" s="37"/>
      <c r="S68" s="37"/>
      <c r="T68" s="36"/>
      <c r="U68" s="38"/>
    </row>
    <row r="69" spans="2:21">
      <c r="B69" s="11" t="s">
        <v>196</v>
      </c>
      <c r="C69" s="11" t="s">
        <v>197</v>
      </c>
      <c r="D69" s="11"/>
      <c r="E69" s="17">
        <v>45657</v>
      </c>
      <c r="F69" s="18">
        <v>200</v>
      </c>
      <c r="G69" s="19"/>
      <c r="H69" s="16"/>
      <c r="I69" s="21">
        <f>IF(Tableau22[[#This Row],[Montant HT]]="","",IF(Tableau22[[#This Row],[Montant HT]]&gt;0,Tableau22[[#This Row],[Montant TTC]]-Tableau22[[#This Row],[Montant HT]]))</f>
        <v>0</v>
      </c>
      <c r="J69" s="21">
        <f>Tableau22[[#This Row],[Montant HT]]*0.01</f>
        <v>2</v>
      </c>
      <c r="K69" s="21">
        <f>IF(Tableau22[[#This Row],[Montant HT]]="","",IF(Tableau22[[#This Row],[Montant HT]]&gt;0,Tableau22[[#This Row],[Montant HT]]+Tableau22[[#This Row],[Timbre]]+(Tableau22[[#This Row],[Montant HT]]*Tableau22[[#This Row],[Taux de TVA]])))</f>
        <v>200</v>
      </c>
      <c r="L69" s="21">
        <f>(Tableau22[[#This Row],[Montant HT]]+Tableau22[[#This Row],[Montant de la TVA]])*0.01</f>
        <v>2</v>
      </c>
      <c r="M69" s="32"/>
      <c r="N69" s="33">
        <f>IF(ISERROR(Tableau22[[#This Row],[Montant TTC]]-Tableau22[[#This Row],[Versements effectués par SOUGUI]]),"",Tableau22[[#This Row],[Montant TTC]]-Tableau22[[#This Row],[Versements effectués par SOUGUI]])</f>
        <v>200</v>
      </c>
      <c r="O69" s="23" t="e">
        <f>IF(Tableau22[[#This Row],[Reste dû]]&gt;0,IF(#REF!&gt;0,"Relancer",""),"")</f>
        <v>#REF!</v>
      </c>
      <c r="P69" s="17"/>
      <c r="Q69" s="36"/>
      <c r="R69" s="37"/>
      <c r="S69" s="37"/>
      <c r="T69" s="36"/>
      <c r="U69" s="38"/>
    </row>
    <row r="70" spans="2:21">
      <c r="B70" s="11" t="s">
        <v>198</v>
      </c>
      <c r="C70" s="11" t="s">
        <v>198</v>
      </c>
      <c r="D70" s="11"/>
      <c r="E70" s="17">
        <v>45657</v>
      </c>
      <c r="F70" s="18">
        <v>250</v>
      </c>
      <c r="G70" s="19"/>
      <c r="H70" s="14"/>
      <c r="I70" s="21">
        <f>IF(Tableau22[[#This Row],[Montant HT]]="","",IF(Tableau22[[#This Row],[Montant HT]]&gt;0,Tableau22[[#This Row],[Montant TTC]]-Tableau22[[#This Row],[Montant HT]]))</f>
        <v>0</v>
      </c>
      <c r="J70" s="21">
        <f>Tableau22[[#This Row],[Montant HT]]*0.01</f>
        <v>2.5</v>
      </c>
      <c r="K70" s="21">
        <f>IF(Tableau22[[#This Row],[Montant HT]]="","",IF(Tableau22[[#This Row],[Montant HT]]&gt;0,Tableau22[[#This Row],[Montant HT]]+Tableau22[[#This Row],[Timbre]]+(Tableau22[[#This Row],[Montant HT]]*Tableau22[[#This Row],[Taux de TVA]])))</f>
        <v>250</v>
      </c>
      <c r="L70" s="21">
        <f>(Tableau22[[#This Row],[Montant HT]]+Tableau22[[#This Row],[Montant de la TVA]])*0.01</f>
        <v>2.5</v>
      </c>
      <c r="M70" s="32"/>
      <c r="N70" s="33">
        <f>IF(ISERROR(Tableau22[[#This Row],[Montant TTC]]-Tableau22[[#This Row],[Versements effectués par SOUGUI]]),"",Tableau22[[#This Row],[Montant TTC]]-Tableau22[[#This Row],[Versements effectués par SOUGUI]])</f>
        <v>250</v>
      </c>
      <c r="O70" s="23" t="e">
        <f>IF(Tableau22[[#This Row],[Reste dû]]&gt;0,IF(#REF!&gt;0,"Relancer",""),"")</f>
        <v>#REF!</v>
      </c>
      <c r="P70" s="17"/>
      <c r="Q70" s="36"/>
      <c r="R70" s="37"/>
      <c r="S70" s="37"/>
      <c r="T70" s="36"/>
      <c r="U70" s="38"/>
    </row>
    <row r="71" spans="2:21">
      <c r="B71" s="11" t="s">
        <v>199</v>
      </c>
      <c r="C71" s="11" t="s">
        <v>199</v>
      </c>
      <c r="D71" s="11"/>
      <c r="E71" s="17">
        <v>45628</v>
      </c>
      <c r="F71" s="18">
        <v>20</v>
      </c>
      <c r="G71" s="19"/>
      <c r="H71" s="14"/>
      <c r="I71" s="21">
        <f>IF(Tableau22[[#This Row],[Montant HT]]="","",IF(Tableau22[[#This Row],[Montant HT]]&gt;0,Tableau22[[#This Row],[Montant TTC]]-Tableau22[[#This Row],[Montant HT]]))</f>
        <v>0</v>
      </c>
      <c r="J71" s="21">
        <f>Tableau22[[#This Row],[Montant HT]]*0.01</f>
        <v>0.2</v>
      </c>
      <c r="K71" s="21">
        <f>IF(Tableau22[[#This Row],[Montant HT]]="","",IF(Tableau22[[#This Row],[Montant HT]]&gt;0,Tableau22[[#This Row],[Montant HT]]+Tableau22[[#This Row],[Timbre]]+(Tableau22[[#This Row],[Montant HT]]*Tableau22[[#This Row],[Taux de TVA]])))</f>
        <v>20</v>
      </c>
      <c r="L71" s="21">
        <f>(Tableau22[[#This Row],[Montant HT]]+Tableau22[[#This Row],[Montant de la TVA]])*0.01</f>
        <v>0.2</v>
      </c>
      <c r="M71" s="32"/>
      <c r="N71" s="33">
        <f>IF(ISERROR(Tableau22[[#This Row],[Montant TTC]]-Tableau22[[#This Row],[Versements effectués par SOUGUI]]),"",Tableau22[[#This Row],[Montant TTC]]-Tableau22[[#This Row],[Versements effectués par SOUGUI]])</f>
        <v>20</v>
      </c>
      <c r="O71" s="23" t="e">
        <f>IF(Tableau22[[#This Row],[Reste dû]]&gt;0,IF(#REF!&gt;0,"Relancer",""),"")</f>
        <v>#REF!</v>
      </c>
      <c r="P71" s="17"/>
      <c r="Q71" s="36"/>
      <c r="R71" s="37"/>
      <c r="S71" s="37"/>
      <c r="T71" s="36"/>
      <c r="U71" s="38"/>
    </row>
    <row r="72" spans="2:21">
      <c r="B72" s="11" t="s">
        <v>200</v>
      </c>
      <c r="C72" s="11" t="s">
        <v>201</v>
      </c>
      <c r="D72" s="11"/>
      <c r="E72" s="17">
        <v>45657</v>
      </c>
      <c r="F72" s="18">
        <v>500</v>
      </c>
      <c r="G72" s="19"/>
      <c r="H72" s="14"/>
      <c r="I72" s="21">
        <f>IF(Tableau22[[#This Row],[Montant HT]]="","",IF(Tableau22[[#This Row],[Montant HT]]&gt;0,Tableau22[[#This Row],[Montant TTC]]-Tableau22[[#This Row],[Montant HT]]))</f>
        <v>0</v>
      </c>
      <c r="J72" s="21">
        <f>Tableau22[[#This Row],[Montant HT]]*0.01</f>
        <v>5</v>
      </c>
      <c r="K72" s="21">
        <f>IF(Tableau22[[#This Row],[Montant HT]]="","",IF(Tableau22[[#This Row],[Montant HT]]&gt;0,Tableau22[[#This Row],[Montant HT]]+Tableau22[[#This Row],[Timbre]]+(Tableau22[[#This Row],[Montant HT]]*Tableau22[[#This Row],[Taux de TVA]])))</f>
        <v>500</v>
      </c>
      <c r="L72" s="21">
        <f>(Tableau22[[#This Row],[Montant HT]]+Tableau22[[#This Row],[Montant de la TVA]])*0.01</f>
        <v>5</v>
      </c>
      <c r="M72" s="32"/>
      <c r="N72" s="33">
        <f>IF(ISERROR(Tableau22[[#This Row],[Montant TTC]]-Tableau22[[#This Row],[Versements effectués par SOUGUI]]),"",Tableau22[[#This Row],[Montant TTC]]-Tableau22[[#This Row],[Versements effectués par SOUGUI]])</f>
        <v>500</v>
      </c>
      <c r="O72" s="23" t="e">
        <f>IF(Tableau22[[#This Row],[Reste dû]]&gt;0,IF(#REF!&gt;0,"Relancer",""),"")</f>
        <v>#REF!</v>
      </c>
      <c r="P72" s="17"/>
      <c r="Q72" s="36"/>
      <c r="R72" s="37"/>
      <c r="S72" s="37"/>
      <c r="T72" s="36"/>
      <c r="U72" s="38"/>
    </row>
    <row r="73" spans="2:21">
      <c r="B73" s="11" t="s">
        <v>202</v>
      </c>
      <c r="C73" s="11" t="s">
        <v>202</v>
      </c>
      <c r="D73" s="11"/>
      <c r="E73" s="17">
        <v>45657</v>
      </c>
      <c r="F73" s="18">
        <v>300</v>
      </c>
      <c r="G73" s="19"/>
      <c r="H73" s="14"/>
      <c r="I73" s="21">
        <f>IF(Tableau22[[#This Row],[Montant HT]]="","",IF(Tableau22[[#This Row],[Montant HT]]&gt;0,Tableau22[[#This Row],[Montant TTC]]-Tableau22[[#This Row],[Montant HT]]))</f>
        <v>0</v>
      </c>
      <c r="J73" s="21">
        <f>Tableau22[[#This Row],[Montant HT]]*0.01</f>
        <v>3</v>
      </c>
      <c r="K73" s="21">
        <f>IF(Tableau22[[#This Row],[Montant HT]]="","",IF(Tableau22[[#This Row],[Montant HT]]&gt;0,Tableau22[[#This Row],[Montant HT]]+Tableau22[[#This Row],[Timbre]]+(Tableau22[[#This Row],[Montant HT]]*Tableau22[[#This Row],[Taux de TVA]])))</f>
        <v>300</v>
      </c>
      <c r="L73" s="21">
        <f>(Tableau22[[#This Row],[Montant HT]]+Tableau22[[#This Row],[Montant de la TVA]])*0.01</f>
        <v>3</v>
      </c>
      <c r="M73" s="32"/>
      <c r="N73" s="33">
        <f>IF(ISERROR(Tableau22[[#This Row],[Montant TTC]]-Tableau22[[#This Row],[Versements effectués par SOUGUI]]),"",Tableau22[[#This Row],[Montant TTC]]-Tableau22[[#This Row],[Versements effectués par SOUGUI]])</f>
        <v>300</v>
      </c>
      <c r="O73" s="23" t="e">
        <f>IF(Tableau22[[#This Row],[Reste dû]]&gt;0,IF(#REF!&gt;0,"Relancer",""),"")</f>
        <v>#REF!</v>
      </c>
      <c r="P73" s="17"/>
      <c r="Q73" s="36"/>
      <c r="R73" s="37"/>
      <c r="S73" s="37"/>
      <c r="T73" s="36"/>
      <c r="U73" s="38"/>
    </row>
    <row r="74" spans="2:21">
      <c r="B74" s="11" t="s">
        <v>122</v>
      </c>
      <c r="C74" s="11" t="s">
        <v>123</v>
      </c>
      <c r="D74" s="11" t="s">
        <v>203</v>
      </c>
      <c r="E74" s="17">
        <v>45377</v>
      </c>
      <c r="F74" s="18">
        <v>2626</v>
      </c>
      <c r="G74" s="19">
        <v>0.19</v>
      </c>
      <c r="H74" s="16">
        <v>1</v>
      </c>
      <c r="I74" s="21">
        <f>IF(Tableau22[[#This Row],[Montant HT]]="","",IF(Tableau22[[#This Row],[Montant HT]]&gt;0,Tableau22[[#This Row],[Montant TTC]]-Tableau22[[#This Row],[Montant HT]]))</f>
        <v>499.94</v>
      </c>
      <c r="J74" s="21">
        <f>Tableau22[[#This Row],[Montant HT]]*0.01</f>
        <v>26.26</v>
      </c>
      <c r="K74" s="21">
        <f>IF(Tableau22[[#This Row],[Montant HT]]="","",IF(Tableau22[[#This Row],[Montant HT]]&gt;0,Tableau22[[#This Row],[Montant HT]]+Tableau22[[#This Row],[Timbre]]+(Tableau22[[#This Row],[Montant HT]]*Tableau22[[#This Row],[Taux de TVA]])))</f>
        <v>3125.94</v>
      </c>
      <c r="L74" s="21">
        <f>(Tableau22[[#This Row],[Montant HT]]+Tableau22[[#This Row],[Montant de la TVA]])*0.01</f>
        <v>31.2594</v>
      </c>
      <c r="M74" s="32"/>
      <c r="N74" s="33">
        <f>IF(ISERROR(Tableau22[[#This Row],[Montant TTC]]-Tableau22[[#This Row],[Versements effectués par SOUGUI]]),"",Tableau22[[#This Row],[Montant TTC]]-Tableau22[[#This Row],[Versements effectués par SOUGUI]])</f>
        <v>3125.94</v>
      </c>
      <c r="O74" s="23" t="e">
        <f>IF(Tableau22[[#This Row],[Reste dû]]&gt;0,IF(#REF!&gt;0,"Relancer",""),"")</f>
        <v>#REF!</v>
      </c>
      <c r="P74" s="17"/>
      <c r="Q74" s="36"/>
      <c r="R74" s="37"/>
      <c r="S74" s="37"/>
      <c r="T74" s="36"/>
      <c r="U74" s="38" t="s">
        <v>204</v>
      </c>
    </row>
    <row r="75" spans="2:21">
      <c r="B75" s="11" t="s">
        <v>205</v>
      </c>
      <c r="C75" s="11" t="s">
        <v>205</v>
      </c>
      <c r="D75" s="11"/>
      <c r="E75" s="17">
        <v>45413</v>
      </c>
      <c r="F75" s="18">
        <v>350</v>
      </c>
      <c r="G75" s="19"/>
      <c r="H75" s="14"/>
      <c r="I75" s="21">
        <f>IF(Tableau22[[#This Row],[Montant HT]]="","",IF(Tableau22[[#This Row],[Montant HT]]&gt;0,Tableau22[[#This Row],[Montant TTC]]-Tableau22[[#This Row],[Montant HT]]))</f>
        <v>0</v>
      </c>
      <c r="J75" s="21">
        <f>Tableau22[[#This Row],[Montant HT]]*0.01</f>
        <v>3.5</v>
      </c>
      <c r="K75" s="21">
        <f>IF(Tableau22[[#This Row],[Montant HT]]="","",IF(Tableau22[[#This Row],[Montant HT]]&gt;0,Tableau22[[#This Row],[Montant HT]]+Tableau22[[#This Row],[Timbre]]+(Tableau22[[#This Row],[Montant HT]]*Tableau22[[#This Row],[Taux de TVA]])))</f>
        <v>350</v>
      </c>
      <c r="L75" s="21">
        <f>(Tableau22[[#This Row],[Montant HT]]+Tableau22[[#This Row],[Montant de la TVA]])*0.01</f>
        <v>3.5</v>
      </c>
      <c r="M75" s="32"/>
      <c r="N75" s="33">
        <f>IF(ISERROR(Tableau22[[#This Row],[Montant TTC]]-Tableau22[[#This Row],[Versements effectués par SOUGUI]]),"",Tableau22[[#This Row],[Montant TTC]]-Tableau22[[#This Row],[Versements effectués par SOUGUI]])</f>
        <v>350</v>
      </c>
      <c r="O75" s="23" t="e">
        <f>IF(Tableau22[[#This Row],[Reste dû]]&gt;0,IF(#REF!&gt;0,"Relancer",""),"")</f>
        <v>#REF!</v>
      </c>
      <c r="P75" s="17"/>
      <c r="Q75" s="36"/>
      <c r="R75" s="37"/>
      <c r="S75" s="37"/>
      <c r="T75" s="36"/>
      <c r="U75" s="38"/>
    </row>
    <row r="76" spans="2:21">
      <c r="B76" s="11" t="s">
        <v>175</v>
      </c>
      <c r="C76" s="11" t="s">
        <v>175</v>
      </c>
      <c r="D76" s="11"/>
      <c r="E76" s="17">
        <v>45383</v>
      </c>
      <c r="F76" s="18">
        <v>500</v>
      </c>
      <c r="G76" s="19"/>
      <c r="H76" s="16">
        <v>1</v>
      </c>
      <c r="I76" s="21">
        <f>Tableau22[[#This Row],[Montant HT]]*Tableau22[[#This Row],[Taux de TVA]]</f>
        <v>0</v>
      </c>
      <c r="J76" s="21">
        <f>Tableau22[[#This Row],[Montant HT]]*0.01</f>
        <v>5</v>
      </c>
      <c r="K76" s="21">
        <f>IF(Tableau22[[#This Row],[Montant HT]]="","",IF(Tableau22[[#This Row],[Montant HT]]&gt;0,Tableau22[[#This Row],[Montant HT]]+Tableau22[[#This Row],[Timbre]]+(Tableau22[[#This Row],[Montant HT]]*Tableau22[[#This Row],[Taux de TVA]])))</f>
        <v>501</v>
      </c>
      <c r="L76" s="21">
        <f>(Tableau22[[#This Row],[Montant HT]]+Tableau22[[#This Row],[Montant de la TVA]])*0.01</f>
        <v>5</v>
      </c>
      <c r="M76" s="30"/>
      <c r="N76" s="33">
        <f>IF(ISERROR(Tableau22[[#This Row],[Montant TTC]]-Tableau22[[#This Row],[Versements effectués par SOUGUI]]),"",Tableau22[[#This Row],[Montant TTC]]-Tableau22[[#This Row],[Versements effectués par SOUGUI]])</f>
        <v>501</v>
      </c>
      <c r="O76" s="23" t="str">
        <f t="shared" si="3"/>
        <v>Pas encore payé</v>
      </c>
      <c r="P76" s="17"/>
      <c r="Q76" s="36"/>
      <c r="R76" s="37"/>
      <c r="S76" s="37"/>
      <c r="T76" s="36"/>
      <c r="U76" s="38" t="s">
        <v>206</v>
      </c>
    </row>
    <row r="77" spans="2:21">
      <c r="B77" s="11" t="s">
        <v>164</v>
      </c>
      <c r="C77" s="11" t="s">
        <v>164</v>
      </c>
      <c r="D77" s="11"/>
      <c r="E77" s="17">
        <v>45413</v>
      </c>
      <c r="F77" s="18">
        <v>656.6</v>
      </c>
      <c r="G77" s="19">
        <v>0.19</v>
      </c>
      <c r="H77" s="16">
        <v>1</v>
      </c>
      <c r="I77" s="21">
        <f>IF(Tableau22[[#This Row],[Montant HT]]="","",IF(Tableau22[[#This Row],[Montant HT]]&gt;0,Tableau22[[#This Row],[Montant TTC]]-Tableau22[[#This Row],[Montant HT]]))</f>
        <v>125.754</v>
      </c>
      <c r="J77" s="21">
        <f>Tableau22[[#This Row],[Montant HT]]*0.01</f>
        <v>6.566</v>
      </c>
      <c r="K77" s="21">
        <f>IF(Tableau22[[#This Row],[Montant HT]]="","",IF(Tableau22[[#This Row],[Montant HT]]&gt;0,Tableau22[[#This Row],[Montant HT]]+Tableau22[[#This Row],[Timbre]]+(Tableau22[[#This Row],[Montant HT]]*Tableau22[[#This Row],[Taux de TVA]])))</f>
        <v>782.354</v>
      </c>
      <c r="L77" s="21">
        <f>(Tableau22[[#This Row],[Montant HT]]+Tableau22[[#This Row],[Montant de la TVA]])*0.01</f>
        <v>7.82354</v>
      </c>
      <c r="M77" s="30"/>
      <c r="N77" s="33">
        <f>IF(ISERROR(Tableau22[[#This Row],[Montant TTC]]-Tableau22[[#This Row],[Versements effectués par SOUGUI]]),"",Tableau22[[#This Row],[Montant TTC]]-Tableau22[[#This Row],[Versements effectués par SOUGUI]])</f>
        <v>782.354</v>
      </c>
      <c r="O77" s="49" t="e">
        <f>IF(Tableau22[[#This Row],[Reste dû]]&gt;0,IF(#REF!&gt;0,"Relancer",""),"")</f>
        <v>#REF!</v>
      </c>
      <c r="P77" s="17"/>
      <c r="Q77" s="36"/>
      <c r="R77" s="37"/>
      <c r="S77" s="37"/>
      <c r="T77" s="36"/>
      <c r="U77" s="38"/>
    </row>
    <row r="78" spans="2:21">
      <c r="B78" s="11" t="s">
        <v>133</v>
      </c>
      <c r="C78" s="11" t="s">
        <v>134</v>
      </c>
      <c r="D78" s="11"/>
      <c r="E78" s="17">
        <v>45474</v>
      </c>
      <c r="F78" s="18">
        <v>330</v>
      </c>
      <c r="G78" s="19">
        <v>0.19</v>
      </c>
      <c r="H78" s="16">
        <v>1</v>
      </c>
      <c r="I78" s="21">
        <f>IF(Tableau22[[#This Row],[Montant HT]]="","",IF(Tableau22[[#This Row],[Montant HT]]&gt;0,Tableau22[[#This Row],[Montant TTC]]-Tableau22[[#This Row],[Montant HT]]))</f>
        <v>63.7</v>
      </c>
      <c r="J78" s="21">
        <f>Tableau22[[#This Row],[Montant HT]]*0.01</f>
        <v>3.3</v>
      </c>
      <c r="K78" s="21">
        <f>IF(Tableau22[[#This Row],[Montant HT]]="","",IF(Tableau22[[#This Row],[Montant HT]]&gt;0,Tableau22[[#This Row],[Montant HT]]+Tableau22[[#This Row],[Timbre]]+(Tableau22[[#This Row],[Montant HT]]*Tableau22[[#This Row],[Taux de TVA]])))</f>
        <v>393.7</v>
      </c>
      <c r="L78" s="21">
        <f>(Tableau22[[#This Row],[Montant HT]]+Tableau22[[#This Row],[Montant de la TVA]])*0.01</f>
        <v>3.937</v>
      </c>
      <c r="M78" s="30"/>
      <c r="N78" s="33">
        <f>IF(ISERROR(Tableau22[[#This Row],[Montant TTC]]-Tableau22[[#This Row],[Versements effectués par SOUGUI]]),"",Tableau22[[#This Row],[Montant TTC]]-Tableau22[[#This Row],[Versements effectués par SOUGUI]])</f>
        <v>393.7</v>
      </c>
      <c r="O78" s="49" t="e">
        <f>IF(Tableau22[[#This Row],[Reste dû]]&gt;0,IF(#REF!&gt;0,"Relancer",""),"")</f>
        <v>#REF!</v>
      </c>
      <c r="P78" s="17"/>
      <c r="Q78" s="36"/>
      <c r="R78" s="37"/>
      <c r="S78" s="37"/>
      <c r="T78" s="36"/>
      <c r="U78" s="38"/>
    </row>
    <row r="79" spans="2:21">
      <c r="B79" s="11" t="s">
        <v>164</v>
      </c>
      <c r="C79" s="11" t="s">
        <v>164</v>
      </c>
      <c r="D79" s="11"/>
      <c r="E79" s="17">
        <v>45453</v>
      </c>
      <c r="F79" s="18">
        <v>480</v>
      </c>
      <c r="G79" s="19">
        <v>0.19</v>
      </c>
      <c r="H79" s="16">
        <v>1</v>
      </c>
      <c r="I79" s="21">
        <f>IF(Tableau22[[#This Row],[Montant HT]]="","",IF(Tableau22[[#This Row],[Montant HT]]&gt;0,Tableau22[[#This Row],[Montant TTC]]-Tableau22[[#This Row],[Montant HT]]))</f>
        <v>92.2</v>
      </c>
      <c r="J79" s="21">
        <f>Tableau22[[#This Row],[Montant HT]]*0.01</f>
        <v>4.8</v>
      </c>
      <c r="K79" s="21">
        <f>IF(Tableau22[[#This Row],[Montant HT]]="","",IF(Tableau22[[#This Row],[Montant HT]]&gt;0,Tableau22[[#This Row],[Montant HT]]+Tableau22[[#This Row],[Timbre]]+(Tableau22[[#This Row],[Montant HT]]*Tableau22[[#This Row],[Taux de TVA]])))</f>
        <v>572.2</v>
      </c>
      <c r="L79" s="21">
        <f>(Tableau22[[#This Row],[Montant HT]]+Tableau22[[#This Row],[Montant de la TVA]])*0.01</f>
        <v>5.722</v>
      </c>
      <c r="M79" s="30"/>
      <c r="N79" s="33">
        <f>IF(ISERROR(Tableau22[[#This Row],[Montant TTC]]-Tableau22[[#This Row],[Versements effectués par SOUGUI]]),"",Tableau22[[#This Row],[Montant TTC]]-Tableau22[[#This Row],[Versements effectués par SOUGUI]])</f>
        <v>572.2</v>
      </c>
      <c r="O79" s="49" t="e">
        <f>IF(Tableau22[[#This Row],[Reste dû]]&gt;0,IF(#REF!&gt;0,"Relancer",""),"")</f>
        <v>#REF!</v>
      </c>
      <c r="P79" s="17"/>
      <c r="Q79" s="36"/>
      <c r="R79" s="37"/>
      <c r="S79" s="37"/>
      <c r="T79" s="36"/>
      <c r="U79" s="38" t="s">
        <v>207</v>
      </c>
    </row>
    <row r="80" spans="2:21">
      <c r="B80" s="11" t="s">
        <v>208</v>
      </c>
      <c r="C80" s="11" t="s">
        <v>208</v>
      </c>
      <c r="D80" s="11"/>
      <c r="E80" s="17">
        <v>45352</v>
      </c>
      <c r="F80" s="18">
        <v>380</v>
      </c>
      <c r="G80" s="19">
        <v>0.19</v>
      </c>
      <c r="H80" s="16">
        <v>1</v>
      </c>
      <c r="I80" s="21">
        <f>IF(Tableau22[[#This Row],[Montant HT]]="","",IF(Tableau22[[#This Row],[Montant HT]]&gt;0,Tableau22[[#This Row],[Montant TTC]]-Tableau22[[#This Row],[Montant HT]]))</f>
        <v>73.2</v>
      </c>
      <c r="J80" s="21"/>
      <c r="K80" s="21">
        <f>IF(Tableau22[[#This Row],[Montant HT]]="","",IF(Tableau22[[#This Row],[Montant HT]]&gt;0,Tableau22[[#This Row],[Montant HT]]+Tableau22[[#This Row],[Timbre]]+(Tableau22[[#This Row],[Montant HT]]*Tableau22[[#This Row],[Taux de TVA]])))</f>
        <v>453.2</v>
      </c>
      <c r="L80" s="21">
        <f>(Tableau22[[#This Row],[Montant HT]]+Tableau22[[#This Row],[Montant de la TVA]])*0.01</f>
        <v>4.532</v>
      </c>
      <c r="M80" s="30"/>
      <c r="N80" s="33">
        <f>IF(ISERROR(Tableau22[[#This Row],[Montant TTC]]-Tableau22[[#This Row],[Versements effectués par SOUGUI]]),"",Tableau22[[#This Row],[Montant TTC]]-Tableau22[[#This Row],[Versements effectués par SOUGUI]])</f>
        <v>453.2</v>
      </c>
      <c r="O80" s="49" t="e">
        <f>IF(Tableau22[[#This Row],[Reste dû]]&gt;0,IF(#REF!&gt;0,"Relancer",""),"")</f>
        <v>#REF!</v>
      </c>
      <c r="P80" s="17"/>
      <c r="Q80" s="36"/>
      <c r="R80" s="37"/>
      <c r="S80" s="37"/>
      <c r="T80" s="36"/>
      <c r="U80" s="38" t="s">
        <v>209</v>
      </c>
    </row>
    <row r="81" spans="2:21">
      <c r="B81" s="11" t="s">
        <v>210</v>
      </c>
      <c r="C81" s="11" t="s">
        <v>210</v>
      </c>
      <c r="D81" s="11"/>
      <c r="E81" s="17">
        <v>45323</v>
      </c>
      <c r="F81" s="18">
        <v>120</v>
      </c>
      <c r="G81" s="19"/>
      <c r="H81" s="14"/>
      <c r="I81" s="21">
        <f>IF(Tableau22[[#This Row],[Montant HT]]="","",IF(Tableau22[[#This Row],[Montant HT]]&gt;0,Tableau22[[#This Row],[Montant TTC]]-Tableau22[[#This Row],[Montant HT]]))</f>
        <v>0</v>
      </c>
      <c r="J81" s="21">
        <f>Tableau22[[#This Row],[Montant HT]]*0.01</f>
        <v>1.2</v>
      </c>
      <c r="K81" s="21">
        <f>IF(Tableau22[[#This Row],[Montant HT]]="","",IF(Tableau22[[#This Row],[Montant HT]]&gt;0,Tableau22[[#This Row],[Montant HT]]+Tableau22[[#This Row],[Timbre]]+(Tableau22[[#This Row],[Montant HT]]*Tableau22[[#This Row],[Taux de TVA]])))</f>
        <v>120</v>
      </c>
      <c r="L81" s="21">
        <f>(Tableau22[[#This Row],[Montant HT]]+Tableau22[[#This Row],[Montant de la TVA]])*0.01</f>
        <v>1.2</v>
      </c>
      <c r="M81" s="30"/>
      <c r="N81" s="33">
        <f>IF(ISERROR(Tableau22[[#This Row],[Montant TTC]]-Tableau22[[#This Row],[Versements effectués par SOUGUI]]),"",Tableau22[[#This Row],[Montant TTC]]-Tableau22[[#This Row],[Versements effectués par SOUGUI]])</f>
        <v>120</v>
      </c>
      <c r="O81" s="49" t="e">
        <f>IF(Tableau22[[#This Row],[Reste dû]]&gt;0,IF(#REF!&gt;0,"Relancer",""),"")</f>
        <v>#REF!</v>
      </c>
      <c r="P81" s="17"/>
      <c r="Q81" s="36"/>
      <c r="R81" s="37"/>
      <c r="S81" s="37"/>
      <c r="T81" s="36"/>
      <c r="U81" s="38"/>
    </row>
    <row r="82" spans="2:21">
      <c r="B82" s="11" t="s">
        <v>211</v>
      </c>
      <c r="C82" s="11" t="s">
        <v>211</v>
      </c>
      <c r="D82" s="11"/>
      <c r="E82" s="17">
        <v>45352</v>
      </c>
      <c r="F82" s="18">
        <v>140</v>
      </c>
      <c r="G82" s="19"/>
      <c r="H82" s="14"/>
      <c r="I82" s="21">
        <f>IF(Tableau22[[#This Row],[Montant HT]]="","",IF(Tableau22[[#This Row],[Montant HT]]&gt;0,Tableau22[[#This Row],[Montant TTC]]-Tableau22[[#This Row],[Montant HT]]))</f>
        <v>0</v>
      </c>
      <c r="J82" s="21">
        <f>Tableau22[[#This Row],[Montant HT]]*0.01</f>
        <v>1.4</v>
      </c>
      <c r="K82" s="21">
        <f>IF(Tableau22[[#This Row],[Montant HT]]="","",IF(Tableau22[[#This Row],[Montant HT]]&gt;0,Tableau22[[#This Row],[Montant HT]]+Tableau22[[#This Row],[Timbre]]+(Tableau22[[#This Row],[Montant HT]]*Tableau22[[#This Row],[Taux de TVA]])))</f>
        <v>140</v>
      </c>
      <c r="L82" s="21">
        <f>(Tableau22[[#This Row],[Montant HT]]+Tableau22[[#This Row],[Montant de la TVA]])*0.01</f>
        <v>1.4</v>
      </c>
      <c r="M82" s="30"/>
      <c r="N82" s="33">
        <f>IF(ISERROR(Tableau22[[#This Row],[Montant TTC]]-Tableau22[[#This Row],[Versements effectués par SOUGUI]]),"",Tableau22[[#This Row],[Montant TTC]]-Tableau22[[#This Row],[Versements effectués par SOUGUI]])</f>
        <v>140</v>
      </c>
      <c r="O82" s="49" t="e">
        <f>IF(Tableau22[[#This Row],[Reste dû]]&gt;0,IF(#REF!&gt;0,"Relancer",""),"")</f>
        <v>#REF!</v>
      </c>
      <c r="P82" s="17"/>
      <c r="Q82" s="36"/>
      <c r="R82" s="37"/>
      <c r="S82" s="37"/>
      <c r="T82" s="36"/>
      <c r="U82" s="38"/>
    </row>
    <row r="83" spans="2:21">
      <c r="B83" s="11" t="s">
        <v>212</v>
      </c>
      <c r="C83" s="11" t="s">
        <v>213</v>
      </c>
      <c r="D83" s="11"/>
      <c r="E83" s="17">
        <v>45376</v>
      </c>
      <c r="F83" s="18">
        <v>70</v>
      </c>
      <c r="G83" s="19"/>
      <c r="H83" s="14"/>
      <c r="I83" s="33">
        <f>IF(Tableau22[[#This Row],[Montant HT]]="","",IF(Tableau22[[#This Row],[Montant HT]]&gt;0,Tableau22[[#This Row],[Montant TTC]]-Tableau22[[#This Row],[Montant HT]]))</f>
        <v>0</v>
      </c>
      <c r="J83" s="21">
        <f>Tableau22[[#This Row],[Montant HT]]*0.01</f>
        <v>0.7</v>
      </c>
      <c r="K83" s="21">
        <f>IF(Tableau22[[#This Row],[Montant HT]]="","",IF(Tableau22[[#This Row],[Montant HT]]&gt;0,Tableau22[[#This Row],[Montant HT]]+Tableau22[[#This Row],[Timbre]]+(Tableau22[[#This Row],[Montant HT]]*Tableau22[[#This Row],[Taux de TVA]])))</f>
        <v>70</v>
      </c>
      <c r="L83" s="21">
        <f>(Tableau22[[#This Row],[Montant HT]]+Tableau22[[#This Row],[Montant de la TVA]])*0.01</f>
        <v>0.7</v>
      </c>
      <c r="M83" s="30"/>
      <c r="N83" s="33">
        <f>IF(ISERROR(Tableau22[[#This Row],[Montant TTC]]-Tableau22[[#This Row],[Versements effectués par SOUGUI]]),"",Tableau22[[#This Row],[Montant TTC]]-Tableau22[[#This Row],[Versements effectués par SOUGUI]])</f>
        <v>70</v>
      </c>
      <c r="O83" s="49" t="e">
        <f>IF(Tableau22[[#This Row],[Reste dû]]&gt;0,IF(#REF!&gt;0,"Relancer",""),"")</f>
        <v>#REF!</v>
      </c>
      <c r="P83" s="17"/>
      <c r="Q83" s="36"/>
      <c r="R83" s="37"/>
      <c r="S83" s="37"/>
      <c r="T83" s="36"/>
      <c r="U83" s="38"/>
    </row>
    <row r="84" spans="2:21">
      <c r="B84" s="11" t="s">
        <v>214</v>
      </c>
      <c r="C84" s="11" t="s">
        <v>214</v>
      </c>
      <c r="D84" s="11"/>
      <c r="E84" s="17">
        <v>45352</v>
      </c>
      <c r="F84" s="18">
        <v>75</v>
      </c>
      <c r="G84" s="19"/>
      <c r="H84" s="14"/>
      <c r="I84" s="21">
        <f>IF(Tableau22[[#This Row],[Montant HT]]="","",IF(Tableau22[[#This Row],[Montant HT]]&gt;0,Tableau22[[#This Row],[Montant TTC]]-Tableau22[[#This Row],[Montant HT]]))</f>
        <v>0</v>
      </c>
      <c r="J84" s="21">
        <f>Tableau22[[#This Row],[Montant HT]]*0.01</f>
        <v>0.75</v>
      </c>
      <c r="K84" s="21">
        <f>IF(Tableau22[[#This Row],[Montant HT]]="","",IF(Tableau22[[#This Row],[Montant HT]]&gt;0,Tableau22[[#This Row],[Montant HT]]+Tableau22[[#This Row],[Timbre]]+(Tableau22[[#This Row],[Montant HT]]*Tableau22[[#This Row],[Taux de TVA]])))</f>
        <v>75</v>
      </c>
      <c r="L84" s="21">
        <f>(Tableau22[[#This Row],[Montant HT]]+Tableau22[[#This Row],[Montant de la TVA]])*0.01</f>
        <v>0.75</v>
      </c>
      <c r="M84" s="30"/>
      <c r="N84" s="33">
        <f>IF(ISERROR(Tableau22[[#This Row],[Montant TTC]]-Tableau22[[#This Row],[Versements effectués par SOUGUI]]),"",Tableau22[[#This Row],[Montant TTC]]-Tableau22[[#This Row],[Versements effectués par SOUGUI]])</f>
        <v>75</v>
      </c>
      <c r="O84" s="49" t="e">
        <f>IF(Tableau22[[#This Row],[Reste dû]]&gt;0,IF(#REF!&gt;0,"Relancer",""),"")</f>
        <v>#REF!</v>
      </c>
      <c r="P84" s="17"/>
      <c r="Q84" s="36"/>
      <c r="R84" s="37"/>
      <c r="S84" s="37"/>
      <c r="T84" s="36"/>
      <c r="U84" s="38"/>
    </row>
    <row r="85" spans="2:21">
      <c r="B85" s="11" t="s">
        <v>215</v>
      </c>
      <c r="C85" s="11" t="s">
        <v>215</v>
      </c>
      <c r="D85" s="11"/>
      <c r="E85" s="17">
        <v>45383</v>
      </c>
      <c r="F85" s="18">
        <v>75</v>
      </c>
      <c r="G85" s="19"/>
      <c r="H85" s="14"/>
      <c r="I85" s="33">
        <f>IF(Tableau22[[#This Row],[Montant HT]]="","",IF(Tableau22[[#This Row],[Montant HT]]&gt;0,Tableau22[[#This Row],[Montant TTC]]-Tableau22[[#This Row],[Montant HT]]))</f>
        <v>0</v>
      </c>
      <c r="J85" s="21">
        <f>Tableau22[[#This Row],[Montant HT]]*0.01</f>
        <v>0.75</v>
      </c>
      <c r="K85" s="21">
        <f>IF(Tableau22[[#This Row],[Montant HT]]="","",IF(Tableau22[[#This Row],[Montant HT]]&gt;0,Tableau22[[#This Row],[Montant HT]]+Tableau22[[#This Row],[Timbre]]+(Tableau22[[#This Row],[Montant HT]]*Tableau22[[#This Row],[Taux de TVA]])))</f>
        <v>75</v>
      </c>
      <c r="L85" s="21">
        <f>(Tableau22[[#This Row],[Montant HT]]+Tableau22[[#This Row],[Montant de la TVA]])*0.01</f>
        <v>0.75</v>
      </c>
      <c r="M85" s="30"/>
      <c r="N85" s="33">
        <f>IF(ISERROR(Tableau22[[#This Row],[Montant TTC]]-Tableau22[[#This Row],[Versements effectués par SOUGUI]]),"",Tableau22[[#This Row],[Montant TTC]]-Tableau22[[#This Row],[Versements effectués par SOUGUI]])</f>
        <v>75</v>
      </c>
      <c r="O85" s="49" t="e">
        <f>IF(Tableau22[[#This Row],[Reste dû]]&gt;0,IF(#REF!&gt;0,"Relancer",""),"")</f>
        <v>#REF!</v>
      </c>
      <c r="P85" s="17"/>
      <c r="Q85" s="36"/>
      <c r="R85" s="37"/>
      <c r="S85" s="37"/>
      <c r="T85" s="36"/>
      <c r="U85" s="38"/>
    </row>
    <row r="86" spans="2:21">
      <c r="B86" s="11" t="s">
        <v>166</v>
      </c>
      <c r="C86" s="11" t="s">
        <v>166</v>
      </c>
      <c r="D86" s="11"/>
      <c r="E86" s="17">
        <v>45649</v>
      </c>
      <c r="F86" s="18">
        <v>189</v>
      </c>
      <c r="G86" s="19">
        <v>0.19</v>
      </c>
      <c r="H86" s="16">
        <v>1</v>
      </c>
      <c r="I86" s="33">
        <f>IF(Tableau22[[#This Row],[Montant HT]]="","",IF(Tableau22[[#This Row],[Montant HT]]&gt;0,Tableau22[[#This Row],[Montant TTC]]-Tableau22[[#This Row],[Montant HT]]))</f>
        <v>36.91</v>
      </c>
      <c r="J86" s="21">
        <f>Tableau22[[#This Row],[Montant HT]]*0.01</f>
        <v>1.89</v>
      </c>
      <c r="K86" s="21">
        <f>IF(Tableau22[[#This Row],[Montant HT]]="","",IF(Tableau22[[#This Row],[Montant HT]]&gt;0,Tableau22[[#This Row],[Montant HT]]+Tableau22[[#This Row],[Timbre]]+(Tableau22[[#This Row],[Montant HT]]*Tableau22[[#This Row],[Taux de TVA]])))</f>
        <v>225.91</v>
      </c>
      <c r="L86" s="21">
        <f>(Tableau22[[#This Row],[Montant HT]]+Tableau22[[#This Row],[Montant de la TVA]])*0.01</f>
        <v>2.2591</v>
      </c>
      <c r="M86" s="30"/>
      <c r="N86" s="33">
        <f>IF(ISERROR(Tableau22[[#This Row],[Montant TTC]]-Tableau22[[#This Row],[Versements effectués par SOUGUI]]),"",Tableau22[[#This Row],[Montant TTC]]-Tableau22[[#This Row],[Versements effectués par SOUGUI]])</f>
        <v>225.91</v>
      </c>
      <c r="O86" s="49" t="e">
        <f>IF(Tableau22[[#This Row],[Reste dû]]&gt;0,IF(#REF!&gt;0,"Relancer",""),"")</f>
        <v>#REF!</v>
      </c>
      <c r="P86" s="17"/>
      <c r="Q86" s="36"/>
      <c r="R86" s="37"/>
      <c r="S86" s="37"/>
      <c r="T86" s="36"/>
      <c r="U86" s="38"/>
    </row>
    <row r="87" spans="2:21">
      <c r="B87" s="11"/>
      <c r="C87" s="11"/>
      <c r="D87" s="11"/>
      <c r="E87" s="17"/>
      <c r="F87" s="18"/>
      <c r="G87" s="19"/>
      <c r="H87" s="14"/>
      <c r="I87" s="33" t="str">
        <f>IF(Tableau22[[#This Row],[Montant HT]]="","",IF(Tableau22[[#This Row],[Montant HT]]&gt;0,Tableau22[[#This Row],[Montant TTC]]-Tableau22[[#This Row],[Montant HT]]))</f>
        <v/>
      </c>
      <c r="J87" s="21">
        <f>Tableau22[[#This Row],[Montant HT]]*0.01</f>
        <v>0</v>
      </c>
      <c r="K87" s="21" t="str">
        <f>IF(Tableau22[[#This Row],[Montant HT]]="","",IF(Tableau22[[#This Row],[Montant HT]]&gt;0,Tableau22[[#This Row],[Montant HT]]+Tableau22[[#This Row],[Timbre]]+(Tableau22[[#This Row],[Montant HT]]*Tableau22[[#This Row],[Taux de TVA]])))</f>
        <v/>
      </c>
      <c r="L87" s="21" t="e">
        <f>(Tableau22[[#This Row],[Montant HT]]+Tableau22[[#This Row],[Montant de la TVA]])*0.01</f>
        <v>#VALUE!</v>
      </c>
      <c r="M87" s="30"/>
      <c r="N87" s="33" t="str">
        <f>IF(ISERROR(Tableau22[[#This Row],[Montant TTC]]-Tableau22[[#This Row],[Versements effectués par SOUGUI]]),"",Tableau22[[#This Row],[Montant TTC]]-Tableau22[[#This Row],[Versements effectués par SOUGUI]])</f>
        <v/>
      </c>
      <c r="O87" s="49" t="e">
        <f>IF(Tableau22[[#This Row],[Reste dû]]&gt;0,IF(#REF!&gt;0,"Relancer",""),"")</f>
        <v>#REF!</v>
      </c>
      <c r="P87" s="17"/>
      <c r="Q87" s="36"/>
      <c r="R87" s="37"/>
      <c r="S87" s="37"/>
      <c r="T87" s="36"/>
      <c r="U87" s="38"/>
    </row>
    <row r="88" ht="15.75" spans="2:21">
      <c r="B88" s="11" t="s">
        <v>216</v>
      </c>
      <c r="C88" s="11" t="s">
        <v>217</v>
      </c>
      <c r="D88" s="11"/>
      <c r="E88" s="17">
        <v>45366</v>
      </c>
      <c r="F88" s="18">
        <v>100</v>
      </c>
      <c r="G88" s="19"/>
      <c r="H88" s="14"/>
      <c r="I88" s="21">
        <f>IF(Tableau22[[#This Row],[Montant HT]]="","",IF(Tableau22[[#This Row],[Montant HT]]&gt;0,Tableau22[[#This Row],[Montant TTC]]-Tableau22[[#This Row],[Montant HT]]))</f>
        <v>0</v>
      </c>
      <c r="J88" s="21">
        <f>Tableau22[[#This Row],[Montant HT]]*0.01</f>
        <v>1</v>
      </c>
      <c r="K88" s="21">
        <f>IF(Tableau22[[#This Row],[Montant HT]]="","",IF(Tableau22[[#This Row],[Montant HT]]&gt;0,Tableau22[[#This Row],[Montant HT]]+Tableau22[[#This Row],[Timbre]]+(Tableau22[[#This Row],[Montant HT]]*Tableau22[[#This Row],[Taux de TVA]])))</f>
        <v>100</v>
      </c>
      <c r="L88" s="21">
        <f>(Tableau22[[#This Row],[Montant HT]]+Tableau22[[#This Row],[Montant de la TVA]])*0.01</f>
        <v>1</v>
      </c>
      <c r="M88" s="30"/>
      <c r="N88" s="33">
        <f>IF(ISERROR(Tableau22[[#This Row],[Montant TTC]]-Tableau22[[#This Row],[Versements effectués par SOUGUI]]),"",Tableau22[[#This Row],[Montant TTC]]-Tableau22[[#This Row],[Versements effectués par SOUGUI]])</f>
        <v>100</v>
      </c>
      <c r="O88" s="49" t="e">
        <f>IF(Tableau22[[#This Row],[Reste dû]]&gt;0,IF(#REF!&gt;0,"Relancer",""),"")</f>
        <v>#REF!</v>
      </c>
      <c r="P88" s="17"/>
      <c r="Q88" s="36"/>
      <c r="R88" s="37"/>
      <c r="S88" s="37"/>
      <c r="T88" s="36"/>
      <c r="U88" s="38"/>
    </row>
    <row r="89" ht="18.75" spans="2:21">
      <c r="B89" s="39"/>
      <c r="C89" s="40"/>
      <c r="D89" s="41"/>
      <c r="E89" s="42"/>
      <c r="F89" s="43">
        <f>SUBTOTAL(109,Tableau22[Montant HT])</f>
        <v>103429.28085</v>
      </c>
      <c r="G89" s="44"/>
      <c r="H89" s="44"/>
      <c r="I89" s="43">
        <f>SUBTOTAL(109,Tableau22[Montant de la TVA])</f>
        <v>9879.5670595</v>
      </c>
      <c r="J89" s="43"/>
      <c r="K89" s="43">
        <f>SUBTOTAL(109,Tableau22[Montant TTC])</f>
        <v>113274.0014733</v>
      </c>
      <c r="L89" s="43"/>
      <c r="M89" s="43">
        <f>SUBTOTAL(109,Tableau22[Versements effectués par SOUGUI])</f>
        <v>66354.0068733</v>
      </c>
      <c r="N89" s="43">
        <f>SUBTOTAL(109,Tableau22[Reste dû])</f>
        <v>46919.9946</v>
      </c>
      <c r="O89" s="50"/>
      <c r="P89" s="51"/>
      <c r="Q89" s="56"/>
      <c r="R89" s="56"/>
      <c r="S89" s="56"/>
      <c r="T89" s="56"/>
      <c r="U89" s="57"/>
    </row>
    <row r="90" ht="21" spans="5:16">
      <c r="E90" s="45" t="s">
        <v>88</v>
      </c>
      <c r="F90" s="46" t="s">
        <v>89</v>
      </c>
      <c r="I90" s="52" t="s">
        <v>90</v>
      </c>
      <c r="J90" s="52"/>
      <c r="K90" s="52" t="s">
        <v>91</v>
      </c>
      <c r="L90" s="52"/>
      <c r="M90" s="53" t="s">
        <v>92</v>
      </c>
      <c r="N90" s="52" t="s">
        <v>93</v>
      </c>
      <c r="O90" s="54"/>
      <c r="P90" s="55"/>
    </row>
    <row r="92" ht="15.75" spans="2:2">
      <c r="B92" s="47" t="s">
        <v>218</v>
      </c>
    </row>
    <row r="93" ht="15.75" spans="2:2">
      <c r="B93" s="48" t="s">
        <v>219</v>
      </c>
    </row>
    <row r="94" ht="15.75" spans="2:2">
      <c r="B94" s="48" t="s">
        <v>220</v>
      </c>
    </row>
    <row r="95" ht="15.75" spans="2:2">
      <c r="B95" s="48" t="s">
        <v>221</v>
      </c>
    </row>
  </sheetData>
  <dataValidations count="2">
    <dataValidation type="custom" allowBlank="1" showInputMessage="1" showErrorMessage="1" errorTitle="Doublon" error="“Vous avez déjà saisie cette facture”" sqref="D7:D18 D20:D39 D43:D44">
      <formula1>COUNTIF($D$7:$D$572,$D7)=1</formula1>
    </dataValidation>
    <dataValidation type="list" allowBlank="1" showInputMessage="1" showErrorMessage="1" sqref="Q7:Q88">
      <formula1>"Chèque, Virement, Espèces, Autres "</formula1>
    </dataValidation>
  </dataValidations>
  <pageMargins left="0.511811023622047" right="0.511811023622047" top="0.748031496062992" bottom="0.748031496062992" header="0.31496062992126" footer="0.31496062992126"/>
  <pageSetup paperSize="9" scale="32" orientation="landscape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Page d'acceuil</vt:lpstr>
      <vt:lpstr>Suivi des Ventes</vt:lpstr>
      <vt:lpstr>Suivi Des Achats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cp:lastModifiedBy>Raouaa Ben Mehrez</cp:lastModifiedBy>
  <dcterms:created xsi:type="dcterms:W3CDTF">2015-06-05T18:19:00Z</dcterms:created>
  <dcterms:modified xsi:type="dcterms:W3CDTF">2026-03-01T10:24:21Z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FC2E0259CC94429E83C9EF4324D62882_12</vt:lpwstr>
  </property>
  <property fmtid="{D5CDD505-2E9C-101B-9397-08002B2CF9AE}" pid="3" name="KSOProductBuildVer">
    <vt:lpwstr>1036-12.2.0.23196</vt:lpwstr>
  </property>
</Properties>
</file>