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Dépenses" sheetId="1" r:id="rId1"/>
    <sheet name="Revenus par client" sheetId="2" r:id="rId2"/>
    <sheet name="Bilan" sheetId="9" r:id="rId3"/>
    <sheet name="Feuille4" sheetId="10" r:id="rId4"/>
    <sheet name="Feuille5" sheetId="11" r:id="rId5"/>
    <sheet name="Feuille6" sheetId="12" r:id="rId6"/>
    <sheet name="Feuille7" sheetId="13" r:id="rId7"/>
  </sheets>
  <definedNames>
    <definedName name="_xlnm._FilterDatabase" localSheetId="0" hidden="1">Dépenses!$A$1:$D$186</definedName>
    <definedName name="_xlnm._FilterDatabase" localSheetId="1" hidden="1">'Revenus par client'!$A$1:$D$82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<sst xmlns="http://schemas.openxmlformats.org/spreadsheetml/2006/main" count="558" uniqueCount="181">
  <si>
    <t>Fournisseur</t>
  </si>
  <si>
    <t>Facture</t>
  </si>
  <si>
    <t>Date</t>
  </si>
  <si>
    <t>Montant</t>
  </si>
  <si>
    <t>SMPA</t>
  </si>
  <si>
    <t>F0590</t>
  </si>
  <si>
    <t>F0824</t>
  </si>
  <si>
    <t>SNAPRINT</t>
  </si>
  <si>
    <t>F0951</t>
  </si>
  <si>
    <t>Maison D'Art</t>
  </si>
  <si>
    <t>F1100</t>
  </si>
  <si>
    <t>Kamel hidri</t>
  </si>
  <si>
    <t>F1248</t>
  </si>
  <si>
    <t>TOUT BUREAU</t>
  </si>
  <si>
    <t>F1320</t>
  </si>
  <si>
    <t>NATBAG</t>
  </si>
  <si>
    <t>2023-0195</t>
  </si>
  <si>
    <t>ORIENTAL DESIGN</t>
  </si>
  <si>
    <t>F1496</t>
  </si>
  <si>
    <t xml:space="preserve">Fehri Bel hadj </t>
  </si>
  <si>
    <t>KACO SA</t>
  </si>
  <si>
    <t>-</t>
  </si>
  <si>
    <t>ASCOM</t>
  </si>
  <si>
    <t>F2313884</t>
  </si>
  <si>
    <t>My Print Tunisia</t>
  </si>
  <si>
    <t xml:space="preserve">000059
</t>
  </si>
  <si>
    <t>Helmi Abbassi</t>
  </si>
  <si>
    <t>20230162V</t>
  </si>
  <si>
    <t>Ben Ghorbal Kawther</t>
  </si>
  <si>
    <t>022/2023</t>
  </si>
  <si>
    <t>Cabinet Fethi Hamrouni</t>
  </si>
  <si>
    <t>2023-01955</t>
  </si>
  <si>
    <t>Orange Tunisie</t>
  </si>
  <si>
    <t>Foire International Sousse</t>
  </si>
  <si>
    <t>F1558</t>
  </si>
  <si>
    <t>ALCHIMY</t>
  </si>
  <si>
    <t>FC256</t>
  </si>
  <si>
    <t>BIO SPACE</t>
  </si>
  <si>
    <t>3P</t>
  </si>
  <si>
    <t>SBCD</t>
  </si>
  <si>
    <t>LEM</t>
  </si>
  <si>
    <t>KOBOX</t>
  </si>
  <si>
    <t>Karim Balah</t>
  </si>
  <si>
    <t>ac073/24</t>
  </si>
  <si>
    <t>Yosra Sayah</t>
  </si>
  <si>
    <t>Recharge carte tech</t>
  </si>
  <si>
    <t>Majdi PHOTOGRAPHE</t>
  </si>
  <si>
    <t>Sofien Cherif</t>
  </si>
  <si>
    <t>CNSS</t>
  </si>
  <si>
    <t xml:space="preserve">Pénalité </t>
  </si>
  <si>
    <t>Lazhar Riahi</t>
  </si>
  <si>
    <t>Riadh Laouiti</t>
  </si>
  <si>
    <t>Zitoun Artisanat</t>
  </si>
  <si>
    <t>FA2400470</t>
  </si>
  <si>
    <t>EL FEKI BILEL</t>
  </si>
  <si>
    <t>FAC023</t>
  </si>
  <si>
    <t>Chedly Gara</t>
  </si>
  <si>
    <t>Outils emballage</t>
  </si>
  <si>
    <t>Open Space Lab</t>
  </si>
  <si>
    <t>Gaya</t>
  </si>
  <si>
    <t>Jeux bittounsi</t>
  </si>
  <si>
    <t>FAC241984</t>
  </si>
  <si>
    <t>Zoub ceramic</t>
  </si>
  <si>
    <t>FA244908</t>
  </si>
  <si>
    <t>Yassin Calligraphie</t>
  </si>
  <si>
    <t>FAC52</t>
  </si>
  <si>
    <t>Cartons Fouchana</t>
  </si>
  <si>
    <t>FA244776</t>
  </si>
  <si>
    <t>Transport Fehri</t>
  </si>
  <si>
    <t>FAC-242412</t>
  </si>
  <si>
    <t>Mondher cuivre</t>
  </si>
  <si>
    <t>FAC-242381</t>
  </si>
  <si>
    <t>Huissier Notaire</t>
  </si>
  <si>
    <t>moez cire</t>
  </si>
  <si>
    <t>Dorry Bio</t>
  </si>
  <si>
    <t>l'mprimheure</t>
  </si>
  <si>
    <t>Karima Dachraoui</t>
  </si>
  <si>
    <t>Hide Away Tunisia</t>
  </si>
  <si>
    <t>Brothers Phone Store</t>
  </si>
  <si>
    <t>Librairie Attakwa</t>
  </si>
  <si>
    <t>MIM Fitness Megrine</t>
  </si>
  <si>
    <t>Sté Laouiti Artisanat</t>
  </si>
  <si>
    <t>Quincaillerie Zormani</t>
  </si>
  <si>
    <t>Laouiti Artisanat</t>
  </si>
  <si>
    <t>Société Moderne de Cuivre</t>
  </si>
  <si>
    <t>2M STONEWARE</t>
  </si>
  <si>
    <t>3P PRINT-PRODUCTION-FIXELS</t>
  </si>
  <si>
    <t>ENNAIM Céramique</t>
  </si>
  <si>
    <t>Dar El Marsa</t>
  </si>
  <si>
    <t>Fabripierre</t>
  </si>
  <si>
    <t>HELMI ABASSI</t>
  </si>
  <si>
    <t>MHN lustres en nattes</t>
  </si>
  <si>
    <t>Parashop</t>
  </si>
  <si>
    <t>TRANSAF</t>
  </si>
  <si>
    <t>Soumaya Sellaouti</t>
  </si>
  <si>
    <t>L'avenir</t>
  </si>
  <si>
    <t>KAMTRADE</t>
  </si>
  <si>
    <t>FCT-NAT000012</t>
  </si>
  <si>
    <t>Vivo Energy (Shell)</t>
  </si>
  <si>
    <t>Tunisie Telecom</t>
  </si>
  <si>
    <t>ZOUBA THE CERAMIC STUDIO</t>
  </si>
  <si>
    <t>Delta Distribution</t>
  </si>
  <si>
    <t>Elementor Ltd.</t>
  </si>
  <si>
    <t>Batinconfort Mestiri</t>
  </si>
  <si>
    <t>LA QUINCAILLERIE DU SAHEL</t>
  </si>
  <si>
    <t>Quincaillerie Générale</t>
  </si>
  <si>
    <t xml:space="preserve">OCEAN BOUGIES </t>
  </si>
  <si>
    <t>Bannour Ahmed</t>
  </si>
  <si>
    <t>Bilel Feki</t>
  </si>
  <si>
    <t>Aramex</t>
  </si>
  <si>
    <t xml:space="preserve">SBCD </t>
  </si>
  <si>
    <t>005/2025</t>
  </si>
  <si>
    <t>OXA HOST SARL</t>
  </si>
  <si>
    <t>PROSCOM</t>
  </si>
  <si>
    <t>PRINTWORKS</t>
  </si>
  <si>
    <t>2025/000004</t>
  </si>
  <si>
    <t>FA06572</t>
  </si>
  <si>
    <t>FAC250375</t>
  </si>
  <si>
    <t>FAC/2025/00030</t>
  </si>
  <si>
    <t>20250026V</t>
  </si>
  <si>
    <t>INV-2022-0029748</t>
  </si>
  <si>
    <t>(non précisé)</t>
  </si>
  <si>
    <t>20250019V</t>
  </si>
  <si>
    <t>009/2025</t>
  </si>
  <si>
    <t>FAC-2500410</t>
  </si>
  <si>
    <t>FAC-2500485</t>
  </si>
  <si>
    <t>FAC250512</t>
  </si>
  <si>
    <t>FAC-2500573</t>
  </si>
  <si>
    <t>N003/2025</t>
  </si>
  <si>
    <t>20250037v</t>
  </si>
  <si>
    <t>0018/2025</t>
  </si>
  <si>
    <t>INVIL2500131111</t>
  </si>
  <si>
    <t>–</t>
  </si>
  <si>
    <t>25002591/2025</t>
  </si>
  <si>
    <t>2025/030005530</t>
  </si>
  <si>
    <t>FA2500447</t>
  </si>
  <si>
    <t>20250090V</t>
  </si>
  <si>
    <t>20250096V</t>
  </si>
  <si>
    <t>FAC-2501814</t>
  </si>
  <si>
    <t>FAC-2501426</t>
  </si>
  <si>
    <t>20250108V</t>
  </si>
  <si>
    <t>20250107V</t>
  </si>
  <si>
    <t>2025040003074241</t>
  </si>
  <si>
    <t>2025070005502391</t>
  </si>
  <si>
    <t>2025080006462605</t>
  </si>
  <si>
    <t>2025090007295152</t>
  </si>
  <si>
    <t>2025100008418710</t>
  </si>
  <si>
    <t>04/2025</t>
  </si>
  <si>
    <t>20250138v</t>
  </si>
  <si>
    <t>TUN/1900447491-DOI</t>
  </si>
  <si>
    <t>TUN/1900452688-DOI</t>
  </si>
  <si>
    <t>TUN/1900453630-DOI</t>
  </si>
  <si>
    <t>TUN/1900454380-DOI</t>
  </si>
  <si>
    <t>TUN/1900458272-DOI</t>
  </si>
  <si>
    <t>TUN/1900459050-DOI</t>
  </si>
  <si>
    <t>TUN/1900461801-DOI</t>
  </si>
  <si>
    <t>TUN/1900469666-DOI</t>
  </si>
  <si>
    <t>TUN/1900475808-DOI</t>
  </si>
  <si>
    <t>TUN/1900478981-DOI</t>
  </si>
  <si>
    <t>TUN/1900481602-DOI</t>
  </si>
  <si>
    <t>TUN/1900487549-DOI</t>
  </si>
  <si>
    <t>FA254329</t>
  </si>
  <si>
    <t>F25P1025</t>
  </si>
  <si>
    <t>F25P1024</t>
  </si>
  <si>
    <t>F25P1001</t>
  </si>
  <si>
    <t>F25P1033</t>
  </si>
  <si>
    <t>20250159V</t>
  </si>
  <si>
    <t>FAC-2025-000364</t>
  </si>
  <si>
    <t>Client</t>
  </si>
  <si>
    <t>Total en DT</t>
  </si>
  <si>
    <t>Nombre de marchés</t>
  </si>
  <si>
    <t>% CA</t>
  </si>
  <si>
    <t>Kamel HYDRY</t>
  </si>
  <si>
    <t>Total</t>
  </si>
  <si>
    <t>Étiquettes de lignes</t>
  </si>
  <si>
    <t>Somme de Total en DT</t>
  </si>
  <si>
    <t>Somme de Nombre de marchés</t>
  </si>
  <si>
    <t>Somme de % CA</t>
  </si>
  <si>
    <t>2.11 STONEWARE</t>
  </si>
  <si>
    <t>Shell (Vivo Energy)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</si>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</sst>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NumberFormat="1" applyAlignment="1">
      <alignment horizontal="center" vertical="center"/>
    </xf>
    <xf numFmtId="1" fontId="0" fillId="0" borderId="1" xfId="0" applyNumberFormat="1" applyBorder="1" applyAlignment="1" quotePrefix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fr-F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CA par client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'Revenus par client'!$B$1</c:f>
              <c:strCache>
                <c:ptCount val="1"/>
                <c:pt idx="0">
                  <c:v>Total en DT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'Revenus par client'!$A$2:$A$18</c:f>
              <c:strCache>
                <c:ptCount val="17"/>
                <c:pt idx="0">
                  <c:v>SMPA</c:v>
                </c:pt>
                <c:pt idx="1">
                  <c:v>SNAPRINT</c:v>
                </c:pt>
                <c:pt idx="2">
                  <c:v>Maison D'Art</c:v>
                </c:pt>
                <c:pt idx="3">
                  <c:v>Kamel HYDRY</c:v>
                </c:pt>
                <c:pt idx="4">
                  <c:v>TOUT BUREAU</c:v>
                </c:pt>
                <c:pt idx="5">
                  <c:v>NATBAG</c:v>
                </c:pt>
                <c:pt idx="6">
                  <c:v>ORIENTAL DESIGN</c:v>
                </c:pt>
                <c:pt idx="7">
                  <c:v>Fehri Bel hadj </c:v>
                </c:pt>
                <c:pt idx="8">
                  <c:v>KACO SA</c:v>
                </c:pt>
                <c:pt idx="9">
                  <c:v>ASCOM</c:v>
                </c:pt>
                <c:pt idx="10">
                  <c:v>My Print Tunisia</c:v>
                </c:pt>
                <c:pt idx="11">
                  <c:v>Helmi Abbassi</c:v>
                </c:pt>
                <c:pt idx="12">
                  <c:v>Ben Ghorbal Kawther</c:v>
                </c:pt>
                <c:pt idx="13">
                  <c:v>Cabinet Fethi Hamrouni</c:v>
                </c:pt>
                <c:pt idx="14">
                  <c:v>Orange Tunisie</c:v>
                </c:pt>
                <c:pt idx="15">
                  <c:v>Foire International Sousse</c:v>
                </c:pt>
                <c:pt idx="16">
                  <c:v>ALCHIMY</c:v>
                </c:pt>
              </c:strCache>
            </c:strRef>
          </c:cat>
          <c:val>
            <c:numRef>
              <c:f>'Revenus par client'!$B$2:$B$18</c:f>
              <c:numCache>
                <c:formatCode>General</c:formatCode>
                <c:ptCount val="17"/>
                <c:pt idx="0">
                  <c:v>5024.519</c:v>
                </c:pt>
                <c:pt idx="1">
                  <c:v>4721.75</c:v>
                </c:pt>
                <c:pt idx="2">
                  <c:v>9345.79495</c:v>
                </c:pt>
                <c:pt idx="3">
                  <c:v>0</c:v>
                </c:pt>
                <c:pt idx="4">
                  <c:v>762</c:v>
                </c:pt>
                <c:pt idx="5">
                  <c:v>4316.2</c:v>
                </c:pt>
                <c:pt idx="6">
                  <c:v>40138</c:v>
                </c:pt>
                <c:pt idx="7">
                  <c:v>22453.03</c:v>
                </c:pt>
                <c:pt idx="8">
                  <c:v>2130</c:v>
                </c:pt>
                <c:pt idx="9">
                  <c:v>950</c:v>
                </c:pt>
                <c:pt idx="10">
                  <c:v>1797</c:v>
                </c:pt>
                <c:pt idx="11">
                  <c:v>465.2</c:v>
                </c:pt>
                <c:pt idx="12">
                  <c:v>294.35</c:v>
                </c:pt>
                <c:pt idx="13">
                  <c:v>1500.476</c:v>
                </c:pt>
                <c:pt idx="14">
                  <c:v>743.7</c:v>
                </c:pt>
                <c:pt idx="15">
                  <c:v>678.87</c:v>
                </c:pt>
                <c:pt idx="16">
                  <c:v>1212.9</c:v>
                </c:pt>
              </c:numCache>
            </c:numRef>
          </c:val>
        </c:ser>
        <c:ser>
          <c:idx val="1"/>
          <c:order val="1"/>
          <c:tx>
            <c:strRef>
              <c:f>'Revenus par client'!$C$1</c:f>
              <c:strCache>
                <c:ptCount val="1"/>
                <c:pt idx="0">
                  <c:v>Nombre de marchés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'Revenus par client'!$A$2:$A$18</c:f>
              <c:strCache>
                <c:ptCount val="17"/>
                <c:pt idx="0">
                  <c:v>SMPA</c:v>
                </c:pt>
                <c:pt idx="1">
                  <c:v>SNAPRINT</c:v>
                </c:pt>
                <c:pt idx="2">
                  <c:v>Maison D'Art</c:v>
                </c:pt>
                <c:pt idx="3">
                  <c:v>Kamel HYDRY</c:v>
                </c:pt>
                <c:pt idx="4">
                  <c:v>TOUT BUREAU</c:v>
                </c:pt>
                <c:pt idx="5">
                  <c:v>NATBAG</c:v>
                </c:pt>
                <c:pt idx="6">
                  <c:v>ORIENTAL DESIGN</c:v>
                </c:pt>
                <c:pt idx="7">
                  <c:v>Fehri Bel hadj </c:v>
                </c:pt>
                <c:pt idx="8">
                  <c:v>KACO SA</c:v>
                </c:pt>
                <c:pt idx="9">
                  <c:v>ASCOM</c:v>
                </c:pt>
                <c:pt idx="10">
                  <c:v>My Print Tunisia</c:v>
                </c:pt>
                <c:pt idx="11">
                  <c:v>Helmi Abbassi</c:v>
                </c:pt>
                <c:pt idx="12">
                  <c:v>Ben Ghorbal Kawther</c:v>
                </c:pt>
                <c:pt idx="13">
                  <c:v>Cabinet Fethi Hamrouni</c:v>
                </c:pt>
                <c:pt idx="14">
                  <c:v>Orange Tunisie</c:v>
                </c:pt>
                <c:pt idx="15">
                  <c:v>Foire International Sousse</c:v>
                </c:pt>
                <c:pt idx="16">
                  <c:v>ALCHIMY</c:v>
                </c:pt>
              </c:strCache>
            </c:strRef>
          </c:cat>
          <c:val>
            <c:numRef>
              <c:f>'Revenus par client'!$C$2:$C$18</c:f>
              <c:numCache>
                <c:formatCode>General</c:formatCode>
                <c:ptCount val="17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677a3d-55c4-41fa-9c43-b1892fa9e4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9524</xdr:colOff>
      <xdr:row>0</xdr:row>
      <xdr:rowOff>0</xdr:rowOff>
    </xdr:from>
    <xdr:to>
      <xdr:col>13</xdr:col>
      <xdr:colOff>57149</xdr:colOff>
      <xdr:row>19</xdr:row>
      <xdr:rowOff>66675</xdr:rowOff>
    </xdr:to>
    <xdr:graphicFrame>
      <xdr:nvGraphicFramePr>
        <xdr:cNvPr id="2" name="Graphique 1"/>
        <xdr:cNvGraphicFramePr/>
      </xdr:nvGraphicFramePr>
      <xdr:xfrm>
        <a:off x="6447790" y="0"/>
        <a:ext cx="5915025" cy="3686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48.5959730324" refreshedBy="Alaeddine Abidi" recordCount="82">
  <cacheSource type="worksheet">
    <worksheetSource ref="A1:D82" sheet="Revenus par client"/>
  </cacheSource>
  <cacheFields count="4">
    <cacheField name="Client" numFmtId="0">
      <sharedItems count="82">
        <s v="SMPA"/>
        <s v="SNAPRINT"/>
        <s v="Maison D'Art"/>
        <s v="Kamel HYDRY"/>
        <s v="TOUT BUREAU"/>
        <s v="NATBAG"/>
        <s v="ORIENTAL DESIGN"/>
        <s v="Fehri Bel hadj "/>
        <s v="KACO SA"/>
        <s v="ASCOM"/>
        <s v="My Print Tunisia"/>
        <s v="Helmi Abbassi"/>
        <s v="Ben Ghorbal Kawther"/>
        <s v="Cabinet Fethi Hamrouni"/>
        <s v="Orange Tunisie"/>
        <s v="Foire International Sousse"/>
        <s v="ALCHIMY"/>
        <s v="BIO SPACE"/>
        <s v="3P"/>
        <s v="SBCD"/>
        <s v="LEM"/>
        <s v="KOBOX"/>
        <s v="Karim Balah"/>
        <s v="Yosra Sayah"/>
        <s v="Recharge carte tech"/>
        <s v="Majdi PHOTOGRAPHE"/>
        <s v="Sofien Cherif"/>
        <s v="CNSS"/>
        <s v="Pénalité "/>
        <s v="Lazhar Riahi"/>
        <s v="Zitoun Artisanat"/>
        <s v="EL FEKI BILEL"/>
        <s v="Chedly Gara"/>
        <s v="Outils emballage"/>
        <s v="Open Space Lab"/>
        <s v="Gaya"/>
        <s v="Jeux bittounsi"/>
        <s v="Zoub ceramic"/>
        <s v="Yassin Calligraphie"/>
        <s v="Cartons Fouchana"/>
        <s v="Transport Fehri"/>
        <s v="Mondher cuivre"/>
        <s v="Huissier Notaire"/>
        <s v="moez cire"/>
        <s v="Dorry Bio"/>
        <s v="l'mprimheure"/>
        <s v="Karima Dachraoui"/>
        <s v="Hide Away Tunisia"/>
        <s v="Brothers Phone Store"/>
        <s v="Librairie Attakwa"/>
        <s v="MIM Fitness Megrine"/>
        <s v="Quincaillerie Zormani"/>
        <s v="Société Moderne de Cuivre"/>
        <s v="2.11 STONEWARE"/>
        <s v="3P PRINT-PRODUCTION-FIXELS"/>
        <s v="ENNAIM Céramique"/>
        <s v="Dar El Marsa"/>
        <s v="Fabripierre"/>
        <s v="HELMI ABASSI"/>
        <s v="MHN lustres en nattes"/>
        <s v="Parashop"/>
        <s v="Shell (Vivo Energy)"/>
        <s v="TRANSAF"/>
        <s v="L'avenir"/>
        <s v="KAMTRADE"/>
        <s v="Vivo Energy (Shell)"/>
        <s v="Tunisie Telecom"/>
        <s v="ZOUBA THE CERAMIC STUDIO"/>
        <s v="Delta Distribution"/>
        <s v="Elementor Ltd."/>
        <s v="Batinconfort Mestiri"/>
        <s v="LA QUINCAILLERIE DU SAHEL"/>
        <s v="Quincaillerie Générale"/>
        <s v="Sté Laouiti Artisanat"/>
        <s v="OCEAN BOUGIES "/>
        <s v="Bannour Ahmed"/>
        <s v="Aramex"/>
        <s v="SBCD "/>
        <s v="OXA HOST SARL"/>
        <s v="PROSCOM"/>
        <s v="PRINTWORKS"/>
        <s v="Soumaya Sellaouti"/>
      </sharedItems>
    </cacheField>
    <cacheField name="Total en DT" numFmtId="0"/>
    <cacheField name="Nombre de marchés" numFmtId="0"/>
    <cacheField name="% CA" numFmtId="1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">
  <r>
    <x v="0"/>
    <n v="5024.519"/>
    <n v="8"/>
    <n v="0.0228036466917441"/>
  </r>
  <r>
    <x v="1"/>
    <n v="4721.75"/>
    <n v="2"/>
    <n v="0.0214295375869298"/>
  </r>
  <r>
    <x v="2"/>
    <n v="9345.79495"/>
    <n v="2"/>
    <n v="0.042415643386618"/>
  </r>
  <r>
    <x v="3"/>
    <n v="36249.8009"/>
    <n v="6"/>
    <n v="0.164518763362158"/>
  </r>
  <r>
    <x v="4"/>
    <n v="762"/>
    <n v="1"/>
    <n v="0.00345831686159591"/>
  </r>
  <r>
    <x v="5"/>
    <n v="4316.2"/>
    <n v="2"/>
    <n v="0.0195889596299479"/>
  </r>
  <r>
    <x v="6"/>
    <n v="40138"/>
    <n v="13"/>
    <n v="0.182165252218815"/>
  </r>
  <r>
    <x v="7"/>
    <n v="22453.03"/>
    <n v="2"/>
    <n v="0.101902483258424"/>
  </r>
  <r>
    <x v="8"/>
    <n v="2130"/>
    <n v="2"/>
    <n v="0.00966694870761062"/>
  </r>
  <r>
    <x v="9"/>
    <n v="950"/>
    <n v="1"/>
    <n v="0.00431154989306577"/>
  </r>
  <r>
    <x v="10"/>
    <n v="1797"/>
    <n v="1"/>
    <n v="0.00815563700825178"/>
  </r>
  <r>
    <x v="11"/>
    <n v="465.2"/>
    <n v="2"/>
    <n v="0.00211129790553073"/>
  </r>
  <r>
    <x v="12"/>
    <n v="294.35"/>
    <n v="2"/>
    <n v="0.00133589969581464"/>
  </r>
  <r>
    <x v="13"/>
    <n v="1500.476"/>
    <n v="1"/>
    <n v="0.00680987067089237"/>
  </r>
  <r>
    <x v="14"/>
    <n v="743.7"/>
    <n v="12"/>
    <n v="0.00337526279523475"/>
  </r>
  <r>
    <x v="15"/>
    <n v="678.87"/>
    <n v="2"/>
    <n v="0.0030810335535848"/>
  </r>
  <r>
    <x v="16"/>
    <n v="1212.9"/>
    <n v="2"/>
    <n v="0.00550471459505207"/>
  </r>
  <r>
    <x v="17"/>
    <n v="600"/>
    <n v="1"/>
    <n v="0.00272308414298891"/>
  </r>
  <r>
    <x v="18"/>
    <n v="1761.6"/>
    <n v="3"/>
    <n v="0.00799497504381543"/>
  </r>
  <r>
    <x v="19"/>
    <n v="9254.4"/>
    <n v="3"/>
    <n v="0.0420008498214609"/>
  </r>
  <r>
    <x v="20"/>
    <n v="1250"/>
    <n v="1"/>
    <n v="0.00567309196456022"/>
  </r>
  <r>
    <x v="21"/>
    <n v="1542.5"/>
    <n v="2"/>
    <n v="0.00700059548426731"/>
  </r>
  <r>
    <x v="22"/>
    <n v="16595"/>
    <n v="2"/>
    <n v="0.0753159689215015"/>
  </r>
  <r>
    <x v="23"/>
    <n v="1800"/>
    <n v="1"/>
    <n v="0.00816925242896672"/>
  </r>
  <r>
    <x v="24"/>
    <n v="440"/>
    <n v="1"/>
    <n v="0.0019969283715252"/>
  </r>
  <r>
    <x v="25"/>
    <n v="230"/>
    <n v="1"/>
    <n v="0.00104384892147908"/>
  </r>
  <r>
    <x v="26"/>
    <n v="420"/>
    <n v="1"/>
    <n v="0.00190615890009223"/>
  </r>
  <r>
    <x v="27"/>
    <n v="640"/>
    <n v="2"/>
    <n v="0.00290462308585483"/>
  </r>
  <r>
    <x v="28"/>
    <n v="250"/>
    <n v="1"/>
    <n v="0.00113461839291204"/>
  </r>
  <r>
    <x v="29"/>
    <n v="3000"/>
    <n v="2"/>
    <n v="0.0136154207149445"/>
  </r>
  <r>
    <x v="30"/>
    <n v="215"/>
    <n v="2"/>
    <n v="0.000975771817904358"/>
  </r>
  <r>
    <x v="31"/>
    <n v="4077"/>
    <n v="4"/>
    <n v="0.0185033567516096"/>
  </r>
  <r>
    <x v="32"/>
    <n v="200"/>
    <n v="1"/>
    <n v="0.000907694714329636"/>
  </r>
  <r>
    <x v="33"/>
    <n v="200"/>
    <n v="1"/>
    <n v="0.000907694714329636"/>
  </r>
  <r>
    <x v="34"/>
    <n v="250"/>
    <n v="1"/>
    <n v="0.00113461839291204"/>
  </r>
  <r>
    <x v="35"/>
    <n v="20"/>
    <n v="1"/>
    <n v="9.07694714329636e-5"/>
  </r>
  <r>
    <x v="36"/>
    <n v="500"/>
    <n v="1"/>
    <n v="0.00226923678582409"/>
  </r>
  <r>
    <x v="37"/>
    <n v="300"/>
    <n v="1"/>
    <n v="0.00136154207149445"/>
  </r>
  <r>
    <x v="38"/>
    <n v="350"/>
    <n v="1"/>
    <n v="0.00158846575007686"/>
  </r>
  <r>
    <x v="39"/>
    <n v="380"/>
    <n v="1"/>
    <n v="0.00172461995722631"/>
  </r>
  <r>
    <x v="40"/>
    <n v="120"/>
    <n v="1"/>
    <n v="0.000544616828597781"/>
  </r>
  <r>
    <x v="41"/>
    <n v="140"/>
    <n v="1"/>
    <n v="0.000635386300030745"/>
  </r>
  <r>
    <x v="42"/>
    <n v="70"/>
    <n v="1"/>
    <n v="0.000317693150015372"/>
  </r>
  <r>
    <x v="43"/>
    <n v="75"/>
    <n v="1"/>
    <n v="0.000340385517873613"/>
  </r>
  <r>
    <x v="44"/>
    <n v="75"/>
    <n v="1"/>
    <n v="0.000340385517873613"/>
  </r>
  <r>
    <x v="45"/>
    <n v="100"/>
    <n v="1"/>
    <n v="0.000453847357164818"/>
  </r>
  <r>
    <x v="46"/>
    <n v="3450"/>
    <n v="9"/>
    <n v="0.0156577338221862"/>
  </r>
  <r>
    <x v="47"/>
    <n v="1000"/>
    <n v="1"/>
    <n v="0.00453847357164818"/>
  </r>
  <r>
    <x v="48"/>
    <n v="2350"/>
    <n v="1"/>
    <n v="0.0106654128933732"/>
  </r>
  <r>
    <x v="49"/>
    <n v="35.294"/>
    <n v="1"/>
    <n v="0.000160180886237751"/>
  </r>
  <r>
    <x v="50"/>
    <n v="1250"/>
    <n v="1"/>
    <n v="0.00567309196456022"/>
  </r>
  <r>
    <x v="51"/>
    <n v="386.56"/>
    <n v="1"/>
    <n v="0.00175439234385632"/>
  </r>
  <r>
    <x v="52"/>
    <n v="37"/>
    <n v="1"/>
    <n v="0.000167923522150983"/>
  </r>
  <r>
    <x v="53"/>
    <n v="1948"/>
    <n v="1"/>
    <n v="0.00884094651757065"/>
  </r>
  <r>
    <x v="54"/>
    <n v="150"/>
    <n v="2"/>
    <n v="0.000680771035747227"/>
  </r>
  <r>
    <x v="55"/>
    <n v="2900"/>
    <n v="1"/>
    <n v="0.0131615733577797"/>
  </r>
  <r>
    <x v="56"/>
    <n v="205.607"/>
    <n v="1"/>
    <n v="0.000933141935645867"/>
  </r>
  <r>
    <x v="57"/>
    <n v="1967.265"/>
    <n v="2"/>
    <n v="0.00892838021092845"/>
  </r>
  <r>
    <x v="58"/>
    <n v="144"/>
    <n v="2"/>
    <n v="0.000653540194317338"/>
  </r>
  <r>
    <x v="59"/>
    <n v="1836.2"/>
    <n v="1"/>
    <n v="0.00833354517226038"/>
  </r>
  <r>
    <x v="60"/>
    <n v="164.4"/>
    <n v="1"/>
    <n v="0.00074612505517896"/>
  </r>
  <r>
    <x v="61"/>
    <n v="305.883"/>
    <n v="1"/>
    <n v="0.00138824191151646"/>
  </r>
  <r>
    <x v="62"/>
    <n v="52"/>
    <n v="1"/>
    <n v="0.000236000625725705"/>
  </r>
  <r>
    <x v="63"/>
    <n v="92"/>
    <n v="1"/>
    <n v="0.000417539568591632"/>
  </r>
  <r>
    <x v="64"/>
    <n v="608"/>
    <n v="5"/>
    <n v="0.00275939193156209"/>
  </r>
  <r>
    <x v="65"/>
    <n v="532.774"/>
    <n v="3"/>
    <n v="0.00241798071866129"/>
  </r>
  <r>
    <x v="66"/>
    <n v="414.384"/>
    <n v="10"/>
    <n v="0.00188067083251386"/>
  </r>
  <r>
    <x v="67"/>
    <n v="720"/>
    <n v="1"/>
    <n v="0.00326770097158669"/>
  </r>
  <r>
    <x v="68"/>
    <n v="49.58"/>
    <n v="1"/>
    <n v="0.000225017519682317"/>
  </r>
  <r>
    <x v="69"/>
    <n v="111.87"/>
    <n v="1"/>
    <n v="0.000507719038460282"/>
  </r>
  <r>
    <x v="70"/>
    <n v="29.649"/>
    <n v="1"/>
    <n v="0.000134561202925797"/>
  </r>
  <r>
    <x v="71"/>
    <n v="9.782"/>
    <n v="1"/>
    <n v="4.43953484778625e-5"/>
  </r>
  <r>
    <x v="72"/>
    <n v="46"/>
    <n v="1"/>
    <n v="0.000208769784295816"/>
  </r>
  <r>
    <x v="73"/>
    <n v="4660.51"/>
    <n v="5"/>
    <n v="0.0211516014654021"/>
  </r>
  <r>
    <x v="74"/>
    <n v="1358"/>
    <n v="3"/>
    <n v="0.00616324711029823"/>
  </r>
  <r>
    <x v="75"/>
    <n v="650"/>
    <n v="2"/>
    <n v="0.00295000782157132"/>
  </r>
  <r>
    <x v="76"/>
    <n v="334"/>
    <n v="12"/>
    <n v="0.00151585017293049"/>
  </r>
  <r>
    <x v="77"/>
    <n v="1351"/>
    <n v="1"/>
    <n v="0.00613147779529669"/>
  </r>
  <r>
    <x v="78"/>
    <n v="418.8"/>
    <n v="1"/>
    <n v="0.00190071273180626"/>
  </r>
  <r>
    <x v="79"/>
    <n v="10502.75"/>
    <n v="4"/>
    <n v="0.0476664533046279"/>
  </r>
  <r>
    <x v="80"/>
    <n v="1080"/>
    <n v="1"/>
    <n v="0.00490155145738003"/>
  </r>
  <r>
    <x v="81"/>
    <n v="1548"/>
    <n v="1"/>
    <n v="0.00702555708891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0" autoFormatId="1" applyNumberFormats="0" applyBorderFormats="0" applyFontFormats="0" applyPatternFormats="0" applyAlignmentFormats="0" applyWidthHeightFormats="1" dataCaption="Valeurs" updatedVersion="8" minRefreshableVersion="3" createdVersion="8" useAutoFormatting="1" indent="0" outline="1" outlineData="1" showDrill="1" multipleFieldFilters="0">
  <location ref="A3:D86" firstHeaderRow="0" firstDataRow="1" firstDataCol="1"/>
  <pivotFields count="4">
    <pivotField axis="axisRow" showAll="0">
      <items count="83">
        <item x="53"/>
        <item x="18"/>
        <item x="54"/>
        <item x="16"/>
        <item x="76"/>
        <item x="9"/>
        <item x="75"/>
        <item x="70"/>
        <item x="12"/>
        <item x="17"/>
        <item x="48"/>
        <item x="13"/>
        <item x="39"/>
        <item x="32"/>
        <item x="27"/>
        <item x="56"/>
        <item x="68"/>
        <item x="44"/>
        <item x="31"/>
        <item x="69"/>
        <item x="55"/>
        <item x="57"/>
        <item x="7"/>
        <item x="15"/>
        <item x="35"/>
        <item x="58"/>
        <item x="11"/>
        <item x="47"/>
        <item x="42"/>
        <item x="36"/>
        <item x="8"/>
        <item x="3"/>
        <item x="64"/>
        <item x="22"/>
        <item x="46"/>
        <item x="21"/>
        <item x="71"/>
        <item x="63"/>
        <item x="29"/>
        <item x="20"/>
        <item x="49"/>
        <item x="45"/>
        <item x="2"/>
        <item x="25"/>
        <item x="59"/>
        <item x="50"/>
        <item x="43"/>
        <item x="41"/>
        <item x="10"/>
        <item x="5"/>
        <item x="74"/>
        <item x="34"/>
        <item x="14"/>
        <item x="6"/>
        <item x="33"/>
        <item x="78"/>
        <item x="60"/>
        <item x="28"/>
        <item x="80"/>
        <item x="79"/>
        <item x="72"/>
        <item x="51"/>
        <item x="24"/>
        <item x="19"/>
        <item x="77"/>
        <item x="61"/>
        <item x="0"/>
        <item x="1"/>
        <item x="52"/>
        <item x="26"/>
        <item x="81"/>
        <item x="73"/>
        <item x="4"/>
        <item x="62"/>
        <item x="40"/>
        <item x="66"/>
        <item x="65"/>
        <item x="38"/>
        <item x="23"/>
        <item x="30"/>
        <item x="37"/>
        <item x="67"/>
        <item t="default"/>
      </items>
    </pivotField>
    <pivotField dataField="1" showAll="0"/>
    <pivotField dataField="1" showAll="0"/>
    <pivotField dataField="1" numFmtId="10" showAl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 en DT" fld="1" baseField="0" baseItem="0"/>
    <dataField name="Somme de Nombre de marchés" fld="2" baseField="0" baseItem="0"/>
    <dataField name="Somme de % CA" fld="3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au1" displayName="Tableau1" ref="A1:D2" totalsRowShown="0">
  <autoFilter xmlns:etc="http://www.wps.cn/officeDocument/2017/etCustomData" ref="A1:D2" etc:filterBottomFollowUsedRange="0"/>
  <tableColumns count="4">
    <tableColumn id="1" name="Client"/>
    <tableColumn id="2" name="Total en DT"/>
    <tableColumn id="3" name="Nombre de marchés"/>
    <tableColumn id="4" name="% 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D2" totalsRowShown="0">
  <autoFilter xmlns:etc="http://www.wps.cn/officeDocument/2017/etCustomData" ref="A1:D2" etc:filterBottomFollowUsedRange="0"/>
  <tableColumns count="4">
    <tableColumn id="1" name="Client"/>
    <tableColumn id="2" name="Total en DT"/>
    <tableColumn id="3" name="Nombre de marchés"/>
    <tableColumn id="4" name="% 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1:D2" totalsRowShown="0">
  <autoFilter xmlns:etc="http://www.wps.cn/officeDocument/2017/etCustomData" ref="A1:D2" etc:filterBottomFollowUsedRange="0"/>
  <tableColumns count="4">
    <tableColumn id="1" name="Client"/>
    <tableColumn id="2" name="Total en DT"/>
    <tableColumn id="3" name="Nombre de marchés"/>
    <tableColumn id="4" name="% 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au4" displayName="Tableau4" ref="A1:D2" totalsRowShown="0">
  <autoFilter xmlns:etc="http://www.wps.cn/officeDocument/2017/etCustomData" ref="A1:D2" etc:filterBottomFollowUsedRange="0"/>
  <tableColumns count="4">
    <tableColumn id="1" name="Client"/>
    <tableColumn id="2" name="Total en DT"/>
    <tableColumn id="3" name="Nombre de marchés"/>
    <tableColumn id="4" name="% 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87"/>
  <sheetViews>
    <sheetView tabSelected="1" topLeftCell="A5" workbookViewId="0">
      <selection activeCell="I27" sqref="I27"/>
    </sheetView>
  </sheetViews>
  <sheetFormatPr defaultColWidth="11" defaultRowHeight="15"/>
  <cols>
    <col min="1" max="1" width="27.5714285714286" style="12" customWidth="1"/>
    <col min="2" max="2" width="20.2857142857143" style="13" customWidth="1"/>
    <col min="3" max="3" width="13.1428571428571" style="12" customWidth="1"/>
    <col min="4" max="4" width="12.8571428571429" style="12"/>
    <col min="10" max="10" width="29.4285714285714" style="12" customWidth="1"/>
  </cols>
  <sheetData>
    <row r="1" spans="1:10">
      <c r="A1" s="5" t="s">
        <v>0</v>
      </c>
      <c r="B1" s="14" t="s">
        <v>1</v>
      </c>
      <c r="C1" s="5" t="s">
        <v>2</v>
      </c>
      <c r="D1" s="5" t="s">
        <v>3</v>
      </c>
      <c r="J1" s="5" t="s">
        <v>0</v>
      </c>
    </row>
    <row r="2" spans="1:10">
      <c r="A2" s="8" t="s">
        <v>4</v>
      </c>
      <c r="B2" s="15" t="s">
        <v>5</v>
      </c>
      <c r="C2" s="16">
        <v>45022</v>
      </c>
      <c r="D2" s="8">
        <v>500.5</v>
      </c>
      <c r="J2" s="8" t="s">
        <v>4</v>
      </c>
    </row>
    <row r="3" spans="1:10">
      <c r="A3" s="8" t="s">
        <v>4</v>
      </c>
      <c r="B3" s="15" t="s">
        <v>6</v>
      </c>
      <c r="C3" s="16">
        <v>45087</v>
      </c>
      <c r="D3" s="8">
        <v>812.4</v>
      </c>
      <c r="J3" s="8" t="s">
        <v>7</v>
      </c>
    </row>
    <row r="4" spans="1:10">
      <c r="A4" s="8" t="s">
        <v>4</v>
      </c>
      <c r="B4" s="15" t="s">
        <v>8</v>
      </c>
      <c r="C4" s="16">
        <v>45119</v>
      </c>
      <c r="D4" s="8">
        <v>799.385</v>
      </c>
      <c r="J4" s="8" t="s">
        <v>9</v>
      </c>
    </row>
    <row r="5" spans="1:10">
      <c r="A5" s="8" t="s">
        <v>4</v>
      </c>
      <c r="B5" s="15" t="s">
        <v>10</v>
      </c>
      <c r="C5" s="16">
        <v>45141</v>
      </c>
      <c r="D5" s="8">
        <v>666.112</v>
      </c>
      <c r="J5" s="8" t="s">
        <v>11</v>
      </c>
    </row>
    <row r="6" spans="1:10">
      <c r="A6" s="8" t="s">
        <v>4</v>
      </c>
      <c r="B6" s="15" t="s">
        <v>12</v>
      </c>
      <c r="C6" s="16">
        <v>45193</v>
      </c>
      <c r="D6" s="8">
        <v>616</v>
      </c>
      <c r="J6" s="8" t="s">
        <v>13</v>
      </c>
    </row>
    <row r="7" spans="1:10">
      <c r="A7" s="8" t="s">
        <v>4</v>
      </c>
      <c r="B7" s="15" t="s">
        <v>14</v>
      </c>
      <c r="C7" s="16">
        <v>45210</v>
      </c>
      <c r="D7" s="8">
        <v>663.444</v>
      </c>
      <c r="J7" s="8" t="s">
        <v>15</v>
      </c>
    </row>
    <row r="8" spans="1:10">
      <c r="A8" s="8" t="s">
        <v>7</v>
      </c>
      <c r="B8" s="15" t="s">
        <v>16</v>
      </c>
      <c r="C8" s="16">
        <v>45251</v>
      </c>
      <c r="D8" s="8">
        <v>1081.75</v>
      </c>
      <c r="J8" s="8" t="s">
        <v>17</v>
      </c>
    </row>
    <row r="9" spans="1:10">
      <c r="A9" s="8" t="s">
        <v>4</v>
      </c>
      <c r="B9" s="15" t="s">
        <v>18</v>
      </c>
      <c r="C9" s="16">
        <v>45251</v>
      </c>
      <c r="D9" s="8">
        <v>462.216</v>
      </c>
      <c r="J9" s="8" t="s">
        <v>19</v>
      </c>
    </row>
    <row r="10" spans="1:10">
      <c r="A10" s="8" t="s">
        <v>9</v>
      </c>
      <c r="B10" s="15">
        <v>292</v>
      </c>
      <c r="C10" s="16">
        <v>45266</v>
      </c>
      <c r="D10" s="8">
        <v>934.58</v>
      </c>
      <c r="J10" s="8" t="s">
        <v>20</v>
      </c>
    </row>
    <row r="11" spans="1:10">
      <c r="A11" s="8" t="s">
        <v>11</v>
      </c>
      <c r="B11" s="15" t="s">
        <v>21</v>
      </c>
      <c r="C11" s="16">
        <v>45266</v>
      </c>
      <c r="D11" s="8">
        <v>420.551</v>
      </c>
      <c r="J11" s="8" t="s">
        <v>22</v>
      </c>
    </row>
    <row r="12" spans="1:10">
      <c r="A12" s="8" t="s">
        <v>13</v>
      </c>
      <c r="B12" s="15" t="s">
        <v>23</v>
      </c>
      <c r="C12" s="16">
        <v>45275</v>
      </c>
      <c r="D12" s="8">
        <v>762</v>
      </c>
      <c r="J12" s="8" t="s">
        <v>24</v>
      </c>
    </row>
    <row r="13" spans="1:10">
      <c r="A13" s="8" t="s">
        <v>15</v>
      </c>
      <c r="B13" s="15" t="s">
        <v>25</v>
      </c>
      <c r="C13" s="16">
        <v>45278</v>
      </c>
      <c r="D13" s="8">
        <v>1690.2</v>
      </c>
      <c r="J13" s="8" t="s">
        <v>26</v>
      </c>
    </row>
    <row r="14" spans="1:10">
      <c r="A14" s="8" t="s">
        <v>17</v>
      </c>
      <c r="B14" s="15" t="s">
        <v>27</v>
      </c>
      <c r="C14" s="16">
        <v>45281</v>
      </c>
      <c r="D14" s="8">
        <v>1900</v>
      </c>
      <c r="J14" s="8" t="s">
        <v>28</v>
      </c>
    </row>
    <row r="15" spans="1:10">
      <c r="A15" s="8" t="s">
        <v>19</v>
      </c>
      <c r="B15" s="15" t="s">
        <v>29</v>
      </c>
      <c r="C15" s="16">
        <v>45281</v>
      </c>
      <c r="D15" s="8">
        <v>1425</v>
      </c>
      <c r="J15" s="8" t="s">
        <v>30</v>
      </c>
    </row>
    <row r="16" spans="1:10">
      <c r="A16" s="8" t="s">
        <v>7</v>
      </c>
      <c r="B16" s="15" t="s">
        <v>31</v>
      </c>
      <c r="C16" s="16">
        <v>45281</v>
      </c>
      <c r="D16" s="8">
        <v>3640</v>
      </c>
      <c r="J16" s="8" t="s">
        <v>32</v>
      </c>
    </row>
    <row r="17" spans="1:10">
      <c r="A17" s="8" t="s">
        <v>20</v>
      </c>
      <c r="B17" s="15">
        <v>202308</v>
      </c>
      <c r="C17" s="16">
        <v>45285</v>
      </c>
      <c r="D17" s="8">
        <v>1800</v>
      </c>
      <c r="J17" s="8" t="s">
        <v>33</v>
      </c>
    </row>
    <row r="18" spans="1:10">
      <c r="A18" s="8" t="s">
        <v>4</v>
      </c>
      <c r="B18" s="15" t="s">
        <v>34</v>
      </c>
      <c r="C18" s="16">
        <v>45288</v>
      </c>
      <c r="D18" s="8">
        <v>504.462</v>
      </c>
      <c r="J18" s="8" t="s">
        <v>35</v>
      </c>
    </row>
    <row r="19" spans="1:10">
      <c r="A19" s="8" t="s">
        <v>22</v>
      </c>
      <c r="B19" s="15" t="s">
        <v>36</v>
      </c>
      <c r="C19" s="16">
        <v>45315</v>
      </c>
      <c r="D19" s="8">
        <v>950</v>
      </c>
      <c r="J19" s="8" t="s">
        <v>37</v>
      </c>
    </row>
    <row r="20" spans="1:10">
      <c r="A20" s="8" t="s">
        <v>11</v>
      </c>
      <c r="B20" s="15" t="s">
        <v>21</v>
      </c>
      <c r="C20" s="16">
        <v>45307</v>
      </c>
      <c r="D20" s="8">
        <v>3932.2499</v>
      </c>
      <c r="J20" s="8" t="s">
        <v>38</v>
      </c>
    </row>
    <row r="21" spans="1:10">
      <c r="A21" s="8" t="s">
        <v>9</v>
      </c>
      <c r="B21" s="15">
        <v>301</v>
      </c>
      <c r="C21" s="16">
        <v>45307</v>
      </c>
      <c r="D21" s="8">
        <v>8411.21495</v>
      </c>
      <c r="J21" s="8" t="s">
        <v>39</v>
      </c>
    </row>
    <row r="22" spans="1:10">
      <c r="A22" s="8" t="s">
        <v>24</v>
      </c>
      <c r="B22" s="15">
        <v>24044</v>
      </c>
      <c r="C22" s="16">
        <v>45484</v>
      </c>
      <c r="D22" s="8">
        <v>1797</v>
      </c>
      <c r="J22" s="8" t="s">
        <v>40</v>
      </c>
    </row>
    <row r="23" spans="1:10">
      <c r="A23" s="8" t="s">
        <v>26</v>
      </c>
      <c r="B23" s="15">
        <v>393</v>
      </c>
      <c r="C23" s="16">
        <v>45490</v>
      </c>
      <c r="D23" s="8">
        <v>375.2</v>
      </c>
      <c r="J23" s="8" t="s">
        <v>41</v>
      </c>
    </row>
    <row r="24" spans="1:10">
      <c r="A24" s="8" t="s">
        <v>28</v>
      </c>
      <c r="B24" s="15">
        <v>3732</v>
      </c>
      <c r="C24" s="16">
        <v>45488</v>
      </c>
      <c r="D24" s="8">
        <v>210.25</v>
      </c>
      <c r="J24" s="8" t="s">
        <v>42</v>
      </c>
    </row>
    <row r="25" spans="1:10">
      <c r="A25" s="8" t="s">
        <v>30</v>
      </c>
      <c r="B25" s="15" t="s">
        <v>43</v>
      </c>
      <c r="C25" s="16">
        <v>45493</v>
      </c>
      <c r="D25" s="8">
        <v>1500.476</v>
      </c>
      <c r="J25" s="8" t="s">
        <v>44</v>
      </c>
    </row>
    <row r="26" spans="1:10">
      <c r="A26" s="8" t="s">
        <v>32</v>
      </c>
      <c r="B26" s="15">
        <v>2401316943</v>
      </c>
      <c r="C26" s="16">
        <v>45292</v>
      </c>
      <c r="D26" s="8">
        <v>64.286</v>
      </c>
      <c r="J26" s="8" t="s">
        <v>45</v>
      </c>
    </row>
    <row r="27" spans="1:10">
      <c r="A27" s="8" t="s">
        <v>32</v>
      </c>
      <c r="B27" s="15">
        <v>2401316943</v>
      </c>
      <c r="C27" s="16">
        <v>45323</v>
      </c>
      <c r="D27" s="8">
        <v>64.286</v>
      </c>
      <c r="J27" s="8" t="s">
        <v>46</v>
      </c>
    </row>
    <row r="28" spans="1:10">
      <c r="A28" s="8" t="s">
        <v>32</v>
      </c>
      <c r="B28" s="15">
        <v>2401316943</v>
      </c>
      <c r="C28" s="16">
        <v>45352</v>
      </c>
      <c r="D28" s="8">
        <v>64.286</v>
      </c>
      <c r="J28" s="8" t="s">
        <v>47</v>
      </c>
    </row>
    <row r="29" spans="1:10">
      <c r="A29" s="8" t="s">
        <v>32</v>
      </c>
      <c r="B29" s="15">
        <v>2401316943</v>
      </c>
      <c r="C29" s="16">
        <v>45383</v>
      </c>
      <c r="D29" s="8">
        <v>64.286</v>
      </c>
      <c r="J29" s="8" t="s">
        <v>48</v>
      </c>
    </row>
    <row r="30" spans="1:10">
      <c r="A30" s="8" t="s">
        <v>32</v>
      </c>
      <c r="B30" s="15">
        <v>2401316943</v>
      </c>
      <c r="C30" s="16">
        <v>45413</v>
      </c>
      <c r="D30" s="8">
        <v>64.286</v>
      </c>
      <c r="J30" s="8" t="s">
        <v>49</v>
      </c>
    </row>
    <row r="31" spans="1:10">
      <c r="A31" s="8" t="s">
        <v>32</v>
      </c>
      <c r="B31" s="15">
        <v>2401316943</v>
      </c>
      <c r="C31" s="16">
        <v>45444</v>
      </c>
      <c r="D31" s="8">
        <v>64.286</v>
      </c>
      <c r="J31" s="8" t="s">
        <v>50</v>
      </c>
    </row>
    <row r="32" spans="1:10">
      <c r="A32" s="8" t="s">
        <v>32</v>
      </c>
      <c r="B32" s="15">
        <v>2401316943</v>
      </c>
      <c r="C32" s="16">
        <v>45474</v>
      </c>
      <c r="D32" s="8">
        <v>64.286</v>
      </c>
      <c r="J32" s="8" t="s">
        <v>51</v>
      </c>
    </row>
    <row r="33" spans="1:10">
      <c r="A33" s="8" t="s">
        <v>32</v>
      </c>
      <c r="B33" s="15">
        <v>2401316943</v>
      </c>
      <c r="C33" s="16">
        <v>45505</v>
      </c>
      <c r="D33" s="8">
        <v>64.286</v>
      </c>
      <c r="J33" s="8" t="s">
        <v>52</v>
      </c>
    </row>
    <row r="34" spans="1:10">
      <c r="A34" s="8" t="s">
        <v>33</v>
      </c>
      <c r="B34" s="15" t="s">
        <v>53</v>
      </c>
      <c r="C34" s="16">
        <v>45501</v>
      </c>
      <c r="D34" s="8">
        <v>365</v>
      </c>
      <c r="J34" s="8" t="s">
        <v>54</v>
      </c>
    </row>
    <row r="35" spans="1:10">
      <c r="A35" s="8" t="s">
        <v>35</v>
      </c>
      <c r="B35" s="15" t="s">
        <v>55</v>
      </c>
      <c r="C35" s="16">
        <v>45462</v>
      </c>
      <c r="D35" s="8">
        <v>1116.9</v>
      </c>
      <c r="J35" s="8" t="s">
        <v>56</v>
      </c>
    </row>
    <row r="36" spans="1:10">
      <c r="A36" s="8" t="s">
        <v>37</v>
      </c>
      <c r="B36" s="15"/>
      <c r="C36" s="16">
        <v>45439</v>
      </c>
      <c r="D36" s="8">
        <v>600</v>
      </c>
      <c r="J36" s="8" t="s">
        <v>57</v>
      </c>
    </row>
    <row r="37" spans="1:10">
      <c r="A37" s="8" t="s">
        <v>19</v>
      </c>
      <c r="B37" s="15"/>
      <c r="C37" s="16">
        <v>45352</v>
      </c>
      <c r="D37" s="8">
        <v>21028.03</v>
      </c>
      <c r="J37" s="8" t="s">
        <v>58</v>
      </c>
    </row>
    <row r="38" spans="1:10">
      <c r="A38" s="8" t="s">
        <v>32</v>
      </c>
      <c r="B38" s="15">
        <v>2401316943</v>
      </c>
      <c r="C38" s="16">
        <v>45536</v>
      </c>
      <c r="D38" s="8">
        <v>64.286</v>
      </c>
      <c r="J38" s="8" t="s">
        <v>59</v>
      </c>
    </row>
    <row r="39" spans="1:10">
      <c r="A39" s="8" t="s">
        <v>32</v>
      </c>
      <c r="B39" s="15">
        <v>2401316943</v>
      </c>
      <c r="C39" s="16">
        <v>45566</v>
      </c>
      <c r="D39" s="8">
        <v>64.286</v>
      </c>
      <c r="J39" s="8" t="s">
        <v>60</v>
      </c>
    </row>
    <row r="40" spans="1:10">
      <c r="A40" s="8" t="s">
        <v>38</v>
      </c>
      <c r="B40" s="15" t="s">
        <v>61</v>
      </c>
      <c r="C40" s="16">
        <v>45617</v>
      </c>
      <c r="D40" s="8">
        <v>625</v>
      </c>
      <c r="J40" s="8" t="s">
        <v>62</v>
      </c>
    </row>
    <row r="41" spans="1:10">
      <c r="A41" s="8" t="s">
        <v>39</v>
      </c>
      <c r="B41" s="15" t="s">
        <v>63</v>
      </c>
      <c r="C41" s="16">
        <v>45617</v>
      </c>
      <c r="D41" s="8">
        <v>65.4</v>
      </c>
      <c r="J41" s="8" t="s">
        <v>64</v>
      </c>
    </row>
    <row r="42" spans="1:10">
      <c r="A42" s="8" t="s">
        <v>40</v>
      </c>
      <c r="B42" s="15" t="s">
        <v>65</v>
      </c>
      <c r="C42" s="16">
        <v>45604</v>
      </c>
      <c r="D42" s="8">
        <v>1250</v>
      </c>
      <c r="J42" s="8" t="s">
        <v>66</v>
      </c>
    </row>
    <row r="43" spans="1:10">
      <c r="A43" s="8" t="s">
        <v>39</v>
      </c>
      <c r="B43" s="15" t="s">
        <v>67</v>
      </c>
      <c r="C43" s="16">
        <v>45610</v>
      </c>
      <c r="D43" s="8">
        <v>9000</v>
      </c>
      <c r="J43" s="8" t="s">
        <v>68</v>
      </c>
    </row>
    <row r="44" spans="1:10">
      <c r="A44" s="8" t="s">
        <v>41</v>
      </c>
      <c r="B44" s="15" t="s">
        <v>69</v>
      </c>
      <c r="C44" s="16">
        <v>45635</v>
      </c>
      <c r="D44" s="8">
        <v>207.5</v>
      </c>
      <c r="J44" s="8" t="s">
        <v>70</v>
      </c>
    </row>
    <row r="45" spans="1:10">
      <c r="A45" s="8" t="s">
        <v>41</v>
      </c>
      <c r="B45" s="15" t="s">
        <v>71</v>
      </c>
      <c r="C45" s="16">
        <v>45631</v>
      </c>
      <c r="D45" s="8">
        <v>1335</v>
      </c>
      <c r="J45" s="8" t="s">
        <v>72</v>
      </c>
    </row>
    <row r="46" spans="1:10">
      <c r="A46" s="8" t="s">
        <v>42</v>
      </c>
      <c r="B46" s="15"/>
      <c r="C46" s="16">
        <v>45631</v>
      </c>
      <c r="D46" s="8">
        <v>16095</v>
      </c>
      <c r="J46" s="8" t="s">
        <v>73</v>
      </c>
    </row>
    <row r="47" spans="1:10">
      <c r="A47" s="8" t="s">
        <v>44</v>
      </c>
      <c r="B47" s="15"/>
      <c r="C47" s="16">
        <v>45663</v>
      </c>
      <c r="D47" s="8">
        <v>1800</v>
      </c>
      <c r="J47" s="8" t="s">
        <v>74</v>
      </c>
    </row>
    <row r="48" spans="1:10">
      <c r="A48" s="8" t="s">
        <v>45</v>
      </c>
      <c r="B48" s="15"/>
      <c r="C48" s="16">
        <v>45632</v>
      </c>
      <c r="D48" s="8">
        <v>440</v>
      </c>
      <c r="J48" s="8" t="s">
        <v>75</v>
      </c>
    </row>
    <row r="49" spans="1:10">
      <c r="A49" s="8" t="s">
        <v>46</v>
      </c>
      <c r="B49" s="15"/>
      <c r="C49" s="16">
        <v>45632</v>
      </c>
      <c r="D49" s="8">
        <v>230</v>
      </c>
      <c r="J49" s="8" t="s">
        <v>76</v>
      </c>
    </row>
    <row r="50" spans="1:10">
      <c r="A50" s="8" t="s">
        <v>47</v>
      </c>
      <c r="B50" s="15"/>
      <c r="C50" s="16">
        <v>45651</v>
      </c>
      <c r="D50" s="8">
        <v>420</v>
      </c>
      <c r="J50" s="8" t="s">
        <v>77</v>
      </c>
    </row>
    <row r="51" spans="1:10">
      <c r="A51" s="8" t="s">
        <v>48</v>
      </c>
      <c r="B51" s="15"/>
      <c r="C51" s="16">
        <v>45657</v>
      </c>
      <c r="D51" s="8">
        <v>550</v>
      </c>
      <c r="J51" s="8" t="s">
        <v>78</v>
      </c>
    </row>
    <row r="52" spans="1:10">
      <c r="A52" s="8" t="s">
        <v>49</v>
      </c>
      <c r="B52" s="15"/>
      <c r="C52" s="16">
        <v>45352</v>
      </c>
      <c r="D52" s="8">
        <v>250</v>
      </c>
      <c r="J52" s="8" t="s">
        <v>79</v>
      </c>
    </row>
    <row r="53" spans="1:10">
      <c r="A53" s="8" t="s">
        <v>50</v>
      </c>
      <c r="B53" s="15"/>
      <c r="C53" s="16">
        <v>45359</v>
      </c>
      <c r="D53" s="8">
        <v>900</v>
      </c>
      <c r="J53" s="8" t="s">
        <v>80</v>
      </c>
    </row>
    <row r="54" spans="1:10">
      <c r="A54" s="8" t="s">
        <v>81</v>
      </c>
      <c r="B54" s="15"/>
      <c r="C54" s="16">
        <v>45651</v>
      </c>
      <c r="D54" s="8">
        <v>818</v>
      </c>
      <c r="J54" s="8" t="s">
        <v>82</v>
      </c>
    </row>
    <row r="55" spans="1:10">
      <c r="A55" s="8" t="s">
        <v>17</v>
      </c>
      <c r="B55" s="15"/>
      <c r="C55" s="16">
        <v>45663</v>
      </c>
      <c r="D55" s="8">
        <v>830</v>
      </c>
      <c r="J55" s="8" t="s">
        <v>83</v>
      </c>
    </row>
    <row r="56" spans="1:10">
      <c r="A56" s="8" t="s">
        <v>48</v>
      </c>
      <c r="B56" s="15"/>
      <c r="C56" s="16">
        <v>45648</v>
      </c>
      <c r="D56" s="8">
        <v>90</v>
      </c>
      <c r="J56" s="8" t="s">
        <v>84</v>
      </c>
    </row>
    <row r="57" spans="1:10">
      <c r="A57" s="8" t="s">
        <v>26</v>
      </c>
      <c r="B57" s="15"/>
      <c r="C57" s="16">
        <v>45657</v>
      </c>
      <c r="D57" s="8">
        <v>90</v>
      </c>
      <c r="J57" s="8" t="s">
        <v>85</v>
      </c>
    </row>
    <row r="58" spans="1:10">
      <c r="A58" s="8" t="s">
        <v>17</v>
      </c>
      <c r="B58" s="15"/>
      <c r="C58" s="16">
        <v>45611</v>
      </c>
      <c r="D58" s="8">
        <v>125</v>
      </c>
      <c r="J58" s="8" t="s">
        <v>86</v>
      </c>
    </row>
    <row r="59" spans="1:10">
      <c r="A59" s="8" t="s">
        <v>52</v>
      </c>
      <c r="B59" s="15"/>
      <c r="C59" s="16">
        <v>45597</v>
      </c>
      <c r="D59" s="8">
        <v>140</v>
      </c>
      <c r="J59" s="8" t="s">
        <v>87</v>
      </c>
    </row>
    <row r="60" spans="1:10">
      <c r="A60" s="8" t="s">
        <v>52</v>
      </c>
      <c r="B60" s="15"/>
      <c r="C60" s="16">
        <v>45566</v>
      </c>
      <c r="D60" s="8">
        <v>75</v>
      </c>
      <c r="J60" s="8" t="s">
        <v>88</v>
      </c>
    </row>
    <row r="61" spans="1:10">
      <c r="A61" s="8" t="s">
        <v>54</v>
      </c>
      <c r="B61" s="15"/>
      <c r="C61" s="16">
        <v>45597</v>
      </c>
      <c r="D61" s="8">
        <v>30</v>
      </c>
      <c r="J61" s="8" t="s">
        <v>89</v>
      </c>
    </row>
    <row r="62" spans="1:10">
      <c r="A62" s="8" t="s">
        <v>56</v>
      </c>
      <c r="B62" s="15"/>
      <c r="C62" s="16">
        <v>45566</v>
      </c>
      <c r="D62" s="8">
        <v>200</v>
      </c>
      <c r="J62" s="8" t="s">
        <v>90</v>
      </c>
    </row>
    <row r="63" spans="1:10">
      <c r="A63" s="8" t="s">
        <v>57</v>
      </c>
      <c r="B63" s="15"/>
      <c r="C63" s="16">
        <v>45657</v>
      </c>
      <c r="D63" s="8">
        <v>200</v>
      </c>
      <c r="J63" s="8" t="s">
        <v>91</v>
      </c>
    </row>
    <row r="64" spans="1:10">
      <c r="A64" s="8" t="s">
        <v>58</v>
      </c>
      <c r="B64" s="15"/>
      <c r="C64" s="16">
        <v>45657</v>
      </c>
      <c r="D64" s="8">
        <v>250</v>
      </c>
      <c r="J64" s="8" t="s">
        <v>92</v>
      </c>
    </row>
    <row r="65" spans="1:10">
      <c r="A65" s="8" t="s">
        <v>59</v>
      </c>
      <c r="B65" s="15"/>
      <c r="C65" s="16">
        <v>45657</v>
      </c>
      <c r="D65" s="8">
        <v>20</v>
      </c>
      <c r="J65" s="8" t="s">
        <v>93</v>
      </c>
    </row>
    <row r="66" spans="1:10">
      <c r="A66" s="8" t="s">
        <v>94</v>
      </c>
      <c r="B66" s="15"/>
      <c r="C66" s="16">
        <v>45628</v>
      </c>
      <c r="D66" s="8">
        <v>500</v>
      </c>
      <c r="J66" s="8" t="s">
        <v>95</v>
      </c>
    </row>
    <row r="67" spans="1:10">
      <c r="A67" s="8" t="s">
        <v>62</v>
      </c>
      <c r="B67" s="15"/>
      <c r="C67" s="16">
        <v>45657</v>
      </c>
      <c r="D67" s="8">
        <v>300</v>
      </c>
      <c r="J67" s="8" t="s">
        <v>96</v>
      </c>
    </row>
    <row r="68" spans="1:10">
      <c r="A68" s="8" t="s">
        <v>15</v>
      </c>
      <c r="B68" s="15" t="s">
        <v>97</v>
      </c>
      <c r="C68" s="16">
        <v>45657</v>
      </c>
      <c r="D68" s="8">
        <v>2626</v>
      </c>
      <c r="J68" s="8" t="s">
        <v>98</v>
      </c>
    </row>
    <row r="69" spans="1:10">
      <c r="A69" s="8" t="s">
        <v>64</v>
      </c>
      <c r="B69" s="15"/>
      <c r="C69" s="16">
        <v>45377</v>
      </c>
      <c r="D69" s="8">
        <v>350</v>
      </c>
      <c r="J69" s="8" t="s">
        <v>99</v>
      </c>
    </row>
    <row r="70" spans="1:10">
      <c r="A70" s="8" t="s">
        <v>42</v>
      </c>
      <c r="B70" s="15"/>
      <c r="C70" s="16">
        <v>45413</v>
      </c>
      <c r="D70" s="8">
        <v>500</v>
      </c>
      <c r="J70" s="8" t="s">
        <v>100</v>
      </c>
    </row>
    <row r="71" spans="1:10">
      <c r="A71" s="8" t="s">
        <v>38</v>
      </c>
      <c r="B71" s="15"/>
      <c r="C71" s="16">
        <v>45383</v>
      </c>
      <c r="D71" s="8">
        <v>656.6</v>
      </c>
      <c r="J71" s="8" t="s">
        <v>101</v>
      </c>
    </row>
    <row r="72" spans="1:10">
      <c r="A72" s="8" t="s">
        <v>20</v>
      </c>
      <c r="B72" s="15"/>
      <c r="C72" s="16">
        <v>45413</v>
      </c>
      <c r="D72" s="8">
        <v>330</v>
      </c>
      <c r="J72" s="8" t="s">
        <v>102</v>
      </c>
    </row>
    <row r="73" spans="1:10">
      <c r="A73" s="8" t="s">
        <v>38</v>
      </c>
      <c r="B73" s="15"/>
      <c r="C73" s="16">
        <v>45474</v>
      </c>
      <c r="D73" s="8">
        <v>480</v>
      </c>
      <c r="J73" s="8" t="s">
        <v>103</v>
      </c>
    </row>
    <row r="74" spans="1:10">
      <c r="A74" s="8" t="s">
        <v>66</v>
      </c>
      <c r="B74" s="15"/>
      <c r="C74" s="16">
        <v>45453</v>
      </c>
      <c r="D74" s="8">
        <v>380</v>
      </c>
      <c r="J74" s="8" t="s">
        <v>104</v>
      </c>
    </row>
    <row r="75" spans="1:10">
      <c r="A75" s="8" t="s">
        <v>68</v>
      </c>
      <c r="B75" s="15"/>
      <c r="C75" s="16">
        <v>45352</v>
      </c>
      <c r="D75" s="8">
        <v>120</v>
      </c>
      <c r="J75" s="8" t="s">
        <v>105</v>
      </c>
    </row>
    <row r="76" spans="1:10">
      <c r="A76" s="8" t="s">
        <v>70</v>
      </c>
      <c r="B76" s="15"/>
      <c r="C76" s="16">
        <v>45323</v>
      </c>
      <c r="D76" s="8">
        <v>140</v>
      </c>
      <c r="J76" s="8" t="s">
        <v>81</v>
      </c>
    </row>
    <row r="77" spans="1:10">
      <c r="A77" s="8" t="s">
        <v>72</v>
      </c>
      <c r="B77" s="15"/>
      <c r="C77" s="16">
        <v>45352</v>
      </c>
      <c r="D77" s="8">
        <v>70</v>
      </c>
      <c r="J77" s="8" t="s">
        <v>106</v>
      </c>
    </row>
    <row r="78" spans="1:10">
      <c r="A78" s="8" t="s">
        <v>73</v>
      </c>
      <c r="B78" s="15"/>
      <c r="C78" s="16">
        <v>45376</v>
      </c>
      <c r="D78" s="8">
        <v>75</v>
      </c>
      <c r="J78" s="8" t="s">
        <v>107</v>
      </c>
    </row>
    <row r="79" spans="1:10">
      <c r="A79" s="8" t="s">
        <v>74</v>
      </c>
      <c r="B79" s="15"/>
      <c r="C79" s="16">
        <v>45352</v>
      </c>
      <c r="D79" s="8">
        <v>75</v>
      </c>
      <c r="J79" s="8" t="s">
        <v>108</v>
      </c>
    </row>
    <row r="80" spans="1:10">
      <c r="A80" s="8" t="s">
        <v>39</v>
      </c>
      <c r="B80" s="15"/>
      <c r="C80" s="16">
        <v>45383</v>
      </c>
      <c r="D80" s="8">
        <v>189</v>
      </c>
      <c r="J80" s="8" t="s">
        <v>109</v>
      </c>
    </row>
    <row r="81" spans="1:10">
      <c r="A81" s="8" t="s">
        <v>75</v>
      </c>
      <c r="B81" s="15"/>
      <c r="C81" s="16">
        <v>45649</v>
      </c>
      <c r="D81" s="8">
        <v>100</v>
      </c>
      <c r="J81" s="8" t="s">
        <v>110</v>
      </c>
    </row>
    <row r="82" spans="1:10">
      <c r="A82" s="8" t="s">
        <v>76</v>
      </c>
      <c r="B82" s="23" t="s">
        <v>111</v>
      </c>
      <c r="C82" s="16"/>
      <c r="D82" s="8">
        <v>510</v>
      </c>
      <c r="J82" s="8" t="s">
        <v>112</v>
      </c>
    </row>
    <row r="83" spans="1:10">
      <c r="A83" s="8" t="s">
        <v>54</v>
      </c>
      <c r="B83" s="15"/>
      <c r="C83" s="16">
        <v>45366</v>
      </c>
      <c r="D83" s="8">
        <v>894</v>
      </c>
      <c r="J83" s="8" t="s">
        <v>113</v>
      </c>
    </row>
    <row r="84" spans="1:10">
      <c r="A84" s="8" t="s">
        <v>77</v>
      </c>
      <c r="B84" s="15">
        <v>8485</v>
      </c>
      <c r="C84" s="16">
        <v>45659</v>
      </c>
      <c r="D84" s="17">
        <v>1000</v>
      </c>
      <c r="J84" s="19" t="s">
        <v>114</v>
      </c>
    </row>
    <row r="85" spans="1:10">
      <c r="A85" s="8" t="s">
        <v>78</v>
      </c>
      <c r="B85" s="15">
        <v>2</v>
      </c>
      <c r="C85" s="16">
        <v>45678</v>
      </c>
      <c r="D85" s="17">
        <v>2350</v>
      </c>
      <c r="J85" s="8" t="s">
        <v>94</v>
      </c>
    </row>
    <row r="86" spans="1:10">
      <c r="A86" s="8" t="s">
        <v>79</v>
      </c>
      <c r="B86" s="15"/>
      <c r="C86" s="16">
        <v>45685</v>
      </c>
      <c r="D86" s="8">
        <v>35.294</v>
      </c>
      <c r="J86" s="20"/>
    </row>
    <row r="87" spans="1:10">
      <c r="A87" s="8" t="s">
        <v>80</v>
      </c>
      <c r="B87" s="15">
        <v>109</v>
      </c>
      <c r="C87" s="16">
        <v>45680</v>
      </c>
      <c r="D87" s="17">
        <v>1250</v>
      </c>
      <c r="J87" s="21"/>
    </row>
    <row r="88" spans="1:10">
      <c r="A88" s="8" t="s">
        <v>82</v>
      </c>
      <c r="B88" s="15" t="s">
        <v>115</v>
      </c>
      <c r="C88" s="16">
        <v>45663</v>
      </c>
      <c r="D88" s="8">
        <v>386.56</v>
      </c>
      <c r="J88" s="21"/>
    </row>
    <row r="89" spans="1:10">
      <c r="A89" s="8" t="s">
        <v>81</v>
      </c>
      <c r="B89" s="15"/>
      <c r="C89" s="16">
        <v>45681</v>
      </c>
      <c r="D89" s="17">
        <v>2860.5</v>
      </c>
      <c r="J89"/>
    </row>
    <row r="90" spans="1:10">
      <c r="A90" s="8" t="s">
        <v>84</v>
      </c>
      <c r="B90" s="15" t="s">
        <v>116</v>
      </c>
      <c r="C90" s="16">
        <v>45684</v>
      </c>
      <c r="D90" s="8">
        <v>37</v>
      </c>
      <c r="J90"/>
    </row>
    <row r="91" spans="1:10">
      <c r="A91" s="8" t="s">
        <v>85</v>
      </c>
      <c r="B91" s="15">
        <v>177</v>
      </c>
      <c r="C91" s="16">
        <v>45705</v>
      </c>
      <c r="D91" s="17">
        <v>1948</v>
      </c>
      <c r="J91"/>
    </row>
    <row r="92" spans="1:10">
      <c r="A92" s="8" t="s">
        <v>86</v>
      </c>
      <c r="B92" s="15" t="s">
        <v>117</v>
      </c>
      <c r="C92" s="16">
        <v>45712</v>
      </c>
      <c r="D92" s="8">
        <v>50</v>
      </c>
      <c r="J92"/>
    </row>
    <row r="93" spans="1:10">
      <c r="A93" s="8" t="s">
        <v>87</v>
      </c>
      <c r="B93" s="15">
        <v>6468</v>
      </c>
      <c r="C93" s="16">
        <v>45707</v>
      </c>
      <c r="D93" s="17">
        <v>2900</v>
      </c>
      <c r="J93"/>
    </row>
    <row r="94" spans="1:10">
      <c r="A94" s="8" t="s">
        <v>88</v>
      </c>
      <c r="B94" s="15">
        <v>34472</v>
      </c>
      <c r="C94" s="16">
        <v>45709</v>
      </c>
      <c r="D94" s="8">
        <v>205.607</v>
      </c>
      <c r="J94"/>
    </row>
    <row r="95" spans="1:10">
      <c r="A95" s="8" t="s">
        <v>89</v>
      </c>
      <c r="B95" s="15">
        <v>20250007</v>
      </c>
      <c r="C95" s="16">
        <v>45709</v>
      </c>
      <c r="D95" s="8">
        <v>332.8</v>
      </c>
      <c r="J95"/>
    </row>
    <row r="96" spans="1:10">
      <c r="A96" s="8" t="s">
        <v>90</v>
      </c>
      <c r="B96" s="15">
        <v>141</v>
      </c>
      <c r="C96" s="16">
        <v>45699</v>
      </c>
      <c r="D96" s="8">
        <v>14</v>
      </c>
      <c r="J96"/>
    </row>
    <row r="97" spans="1:10">
      <c r="A97" s="8" t="s">
        <v>90</v>
      </c>
      <c r="B97" s="15">
        <v>214</v>
      </c>
      <c r="C97" s="16">
        <v>45715</v>
      </c>
      <c r="D97" s="8">
        <v>130</v>
      </c>
      <c r="J97"/>
    </row>
    <row r="98" spans="1:10">
      <c r="A98" s="8" t="s">
        <v>91</v>
      </c>
      <c r="B98" s="15" t="s">
        <v>118</v>
      </c>
      <c r="C98" s="16">
        <v>45693</v>
      </c>
      <c r="D98" s="17">
        <v>1836.2</v>
      </c>
      <c r="J98"/>
    </row>
    <row r="99" spans="1:10">
      <c r="A99" s="8" t="s">
        <v>17</v>
      </c>
      <c r="B99" s="15" t="s">
        <v>119</v>
      </c>
      <c r="C99" s="16">
        <v>45714</v>
      </c>
      <c r="D99" s="17">
        <v>13050</v>
      </c>
      <c r="J99"/>
    </row>
    <row r="100" spans="1:10">
      <c r="A100" s="8" t="s">
        <v>92</v>
      </c>
      <c r="B100" s="15" t="s">
        <v>120</v>
      </c>
      <c r="C100" s="16">
        <v>45691</v>
      </c>
      <c r="D100" s="8">
        <v>164.4</v>
      </c>
      <c r="J100"/>
    </row>
    <row r="101" spans="1:10">
      <c r="A101" s="8" t="s">
        <v>98</v>
      </c>
      <c r="B101" s="15">
        <v>32158669</v>
      </c>
      <c r="C101" s="16">
        <v>45716</v>
      </c>
      <c r="D101" s="8">
        <v>305.883</v>
      </c>
      <c r="J101"/>
    </row>
    <row r="102" spans="1:10">
      <c r="A102" s="8" t="s">
        <v>89</v>
      </c>
      <c r="B102" s="15">
        <v>20250006</v>
      </c>
      <c r="C102" s="16">
        <v>45693</v>
      </c>
      <c r="D102" s="17">
        <v>1634.465</v>
      </c>
      <c r="J102"/>
    </row>
    <row r="103" spans="1:10">
      <c r="A103" s="8" t="s">
        <v>93</v>
      </c>
      <c r="B103" s="15" t="s">
        <v>121</v>
      </c>
      <c r="C103" s="16">
        <v>45698</v>
      </c>
      <c r="D103" s="8">
        <v>52</v>
      </c>
      <c r="J103"/>
    </row>
    <row r="104" spans="1:10">
      <c r="A104" s="8" t="s">
        <v>17</v>
      </c>
      <c r="B104" s="15" t="s">
        <v>122</v>
      </c>
      <c r="C104" s="16">
        <v>45700</v>
      </c>
      <c r="D104" s="8">
        <v>426</v>
      </c>
      <c r="J104"/>
    </row>
    <row r="105" spans="1:10">
      <c r="A105" s="8" t="s">
        <v>35</v>
      </c>
      <c r="B105" s="15">
        <v>5</v>
      </c>
      <c r="C105" s="16">
        <v>45700</v>
      </c>
      <c r="D105" s="8">
        <v>96</v>
      </c>
      <c r="J105"/>
    </row>
    <row r="106" spans="1:10">
      <c r="A106" s="8" t="s">
        <v>76</v>
      </c>
      <c r="B106" s="15" t="s">
        <v>123</v>
      </c>
      <c r="C106" s="16">
        <v>45701</v>
      </c>
      <c r="D106" s="8">
        <v>255</v>
      </c>
      <c r="J106"/>
    </row>
    <row r="107" spans="1:10">
      <c r="A107" s="8" t="s">
        <v>95</v>
      </c>
      <c r="B107" s="15"/>
      <c r="C107" s="16">
        <v>45706</v>
      </c>
      <c r="D107" s="8">
        <v>92</v>
      </c>
      <c r="J107"/>
    </row>
    <row r="108" spans="1:10">
      <c r="A108" s="8" t="s">
        <v>96</v>
      </c>
      <c r="B108" s="15" t="s">
        <v>124</v>
      </c>
      <c r="C108" s="16">
        <v>45716</v>
      </c>
      <c r="D108" s="8">
        <v>1630</v>
      </c>
      <c r="J108"/>
    </row>
    <row r="109" spans="1:10">
      <c r="A109" s="8" t="s">
        <v>96</v>
      </c>
      <c r="B109" s="15" t="s">
        <v>125</v>
      </c>
      <c r="C109" s="16">
        <v>45729</v>
      </c>
      <c r="D109" s="8">
        <v>1150.45</v>
      </c>
      <c r="J109"/>
    </row>
    <row r="110" spans="1:10">
      <c r="A110" s="8" t="s">
        <v>86</v>
      </c>
      <c r="B110" s="15" t="s">
        <v>126</v>
      </c>
      <c r="C110" s="16">
        <v>45726</v>
      </c>
      <c r="D110" s="8">
        <v>100</v>
      </c>
      <c r="J110"/>
    </row>
    <row r="111" spans="1:10">
      <c r="A111" s="8" t="s">
        <v>11</v>
      </c>
      <c r="B111" s="15">
        <v>2</v>
      </c>
      <c r="C111" s="16">
        <v>45741</v>
      </c>
      <c r="D111" s="8">
        <v>13458</v>
      </c>
      <c r="J111"/>
    </row>
    <row r="112" spans="1:10">
      <c r="A112" s="8" t="s">
        <v>96</v>
      </c>
      <c r="B112" s="15" t="s">
        <v>127</v>
      </c>
      <c r="C112" s="16">
        <v>45743</v>
      </c>
      <c r="D112" s="8">
        <v>108</v>
      </c>
      <c r="J112"/>
    </row>
    <row r="113" spans="1:10">
      <c r="A113" s="8" t="s">
        <v>32</v>
      </c>
      <c r="B113" s="15">
        <v>2502328852</v>
      </c>
      <c r="C113" s="16">
        <v>45689</v>
      </c>
      <c r="D113" s="8">
        <v>75.63</v>
      </c>
      <c r="J113"/>
    </row>
    <row r="114" spans="1:10">
      <c r="A114" s="8" t="s">
        <v>32</v>
      </c>
      <c r="B114" s="15">
        <v>2503327305</v>
      </c>
      <c r="C114" s="16">
        <v>45717</v>
      </c>
      <c r="D114" s="8">
        <v>25.21</v>
      </c>
      <c r="J114"/>
    </row>
    <row r="115" spans="1:10">
      <c r="A115" s="8" t="s">
        <v>98</v>
      </c>
      <c r="B115" s="15">
        <v>32232390</v>
      </c>
      <c r="C115" s="16">
        <v>45747</v>
      </c>
      <c r="D115" s="8">
        <v>198.32</v>
      </c>
      <c r="J115"/>
    </row>
    <row r="116" spans="1:10">
      <c r="A116" s="8" t="s">
        <v>99</v>
      </c>
      <c r="B116" s="15">
        <v>2025020001422530</v>
      </c>
      <c r="C116" s="16">
        <v>45689</v>
      </c>
      <c r="D116" s="8">
        <v>50.848</v>
      </c>
      <c r="J116"/>
    </row>
    <row r="117" spans="1:10">
      <c r="A117" s="8" t="s">
        <v>99</v>
      </c>
      <c r="B117" s="15">
        <v>2025030002182250</v>
      </c>
      <c r="C117" s="16">
        <v>45717</v>
      </c>
      <c r="D117" s="8">
        <v>38.792</v>
      </c>
      <c r="J117"/>
    </row>
    <row r="118" spans="1:10">
      <c r="A118" s="8" t="s">
        <v>100</v>
      </c>
      <c r="B118" s="15" t="s">
        <v>128</v>
      </c>
      <c r="C118" s="16">
        <v>45691</v>
      </c>
      <c r="D118" s="8">
        <v>720</v>
      </c>
      <c r="J118"/>
    </row>
    <row r="119" spans="1:10">
      <c r="A119" s="8" t="s">
        <v>101</v>
      </c>
      <c r="B119" s="15">
        <v>556</v>
      </c>
      <c r="C119" s="16">
        <v>45743</v>
      </c>
      <c r="D119" s="8">
        <v>49.58</v>
      </c>
      <c r="J119"/>
    </row>
    <row r="120" spans="1:10">
      <c r="A120" s="8" t="s">
        <v>11</v>
      </c>
      <c r="B120" s="15">
        <v>4</v>
      </c>
      <c r="C120" s="16">
        <v>45767</v>
      </c>
      <c r="D120" s="8">
        <v>17391</v>
      </c>
      <c r="J120"/>
    </row>
    <row r="121" spans="1:10">
      <c r="A121" s="8" t="s">
        <v>17</v>
      </c>
      <c r="B121" s="15" t="s">
        <v>129</v>
      </c>
      <c r="C121" s="16">
        <v>45749</v>
      </c>
      <c r="D121" s="8">
        <v>18700</v>
      </c>
      <c r="J121"/>
    </row>
    <row r="122" spans="1:10">
      <c r="A122" s="8" t="s">
        <v>76</v>
      </c>
      <c r="B122" s="24" t="s">
        <v>130</v>
      </c>
      <c r="C122" s="16">
        <v>45769</v>
      </c>
      <c r="D122" s="8">
        <v>405</v>
      </c>
      <c r="J122"/>
    </row>
    <row r="123" spans="1:10">
      <c r="A123" s="8" t="s">
        <v>98</v>
      </c>
      <c r="B123" s="15">
        <v>32303670</v>
      </c>
      <c r="C123" s="16">
        <v>45777</v>
      </c>
      <c r="D123" s="8">
        <v>193.277</v>
      </c>
      <c r="J123"/>
    </row>
    <row r="124" spans="1:10">
      <c r="A124" s="8" t="s">
        <v>102</v>
      </c>
      <c r="B124" s="15" t="s">
        <v>131</v>
      </c>
      <c r="C124" s="16">
        <v>45800</v>
      </c>
      <c r="D124" s="8">
        <f>33.9*3.3</f>
        <v>111.87</v>
      </c>
      <c r="J124"/>
    </row>
    <row r="125" spans="1:10">
      <c r="A125" s="8" t="s">
        <v>76</v>
      </c>
      <c r="B125" s="15" t="s">
        <v>132</v>
      </c>
      <c r="C125" s="16">
        <v>45783</v>
      </c>
      <c r="D125" s="8">
        <v>240</v>
      </c>
      <c r="J125"/>
    </row>
    <row r="126" spans="1:10">
      <c r="A126" s="8" t="s">
        <v>98</v>
      </c>
      <c r="B126" s="15">
        <v>32380653</v>
      </c>
      <c r="C126" s="16">
        <v>45808</v>
      </c>
      <c r="D126" s="8">
        <v>141.177</v>
      </c>
      <c r="J126"/>
    </row>
    <row r="127" spans="1:10">
      <c r="A127" s="8" t="s">
        <v>103</v>
      </c>
      <c r="B127" s="23" t="s">
        <v>133</v>
      </c>
      <c r="C127" s="16">
        <v>45856</v>
      </c>
      <c r="D127" s="8">
        <v>29.649</v>
      </c>
      <c r="J127"/>
    </row>
    <row r="128" spans="1:10">
      <c r="A128" s="8" t="s">
        <v>104</v>
      </c>
      <c r="B128" s="15" t="s">
        <v>134</v>
      </c>
      <c r="C128" s="16">
        <v>45856</v>
      </c>
      <c r="D128" s="8">
        <v>9.782</v>
      </c>
      <c r="J128"/>
    </row>
    <row r="129" spans="1:10">
      <c r="A129" s="8" t="s">
        <v>33</v>
      </c>
      <c r="B129" s="15" t="s">
        <v>135</v>
      </c>
      <c r="C129" s="16" t="s">
        <v>132</v>
      </c>
      <c r="D129" s="8">
        <v>313.87</v>
      </c>
      <c r="J129"/>
    </row>
    <row r="130" spans="1:10">
      <c r="A130" s="8" t="s">
        <v>76</v>
      </c>
      <c r="B130" s="15"/>
      <c r="C130" s="16">
        <v>45883</v>
      </c>
      <c r="D130" s="8">
        <v>1125</v>
      </c>
      <c r="J130"/>
    </row>
    <row r="131" spans="1:10">
      <c r="A131" s="8" t="s">
        <v>17</v>
      </c>
      <c r="B131" s="15" t="s">
        <v>136</v>
      </c>
      <c r="C131" s="16">
        <v>45887</v>
      </c>
      <c r="D131" s="8">
        <v>692</v>
      </c>
      <c r="J131"/>
    </row>
    <row r="132" spans="1:10">
      <c r="A132" s="8" t="s">
        <v>28</v>
      </c>
      <c r="B132" s="15">
        <v>5301</v>
      </c>
      <c r="C132" s="16">
        <v>45890</v>
      </c>
      <c r="D132" s="8">
        <v>84.1</v>
      </c>
      <c r="J132"/>
    </row>
    <row r="133" spans="1:10">
      <c r="A133" s="8" t="s">
        <v>105</v>
      </c>
      <c r="B133" s="15"/>
      <c r="C133" s="16">
        <v>45883</v>
      </c>
      <c r="D133" s="8">
        <v>46</v>
      </c>
      <c r="J133"/>
    </row>
    <row r="134" spans="1:10">
      <c r="A134" s="8" t="s">
        <v>81</v>
      </c>
      <c r="B134" s="15">
        <v>64</v>
      </c>
      <c r="C134" s="16">
        <v>45873</v>
      </c>
      <c r="D134" s="8">
        <v>248</v>
      </c>
      <c r="J134"/>
    </row>
    <row r="135" spans="1:10">
      <c r="A135" s="8" t="s">
        <v>81</v>
      </c>
      <c r="B135" s="15" t="s">
        <v>132</v>
      </c>
      <c r="C135" s="16">
        <v>45888</v>
      </c>
      <c r="D135" s="8">
        <v>306.01</v>
      </c>
      <c r="J135"/>
    </row>
    <row r="136" spans="1:10">
      <c r="A136" s="8" t="s">
        <v>106</v>
      </c>
      <c r="B136" s="15" t="s">
        <v>132</v>
      </c>
      <c r="C136" s="16">
        <v>45811</v>
      </c>
      <c r="D136" s="8">
        <v>780</v>
      </c>
      <c r="J136"/>
    </row>
    <row r="137" spans="1:10">
      <c r="A137" s="8" t="s">
        <v>17</v>
      </c>
      <c r="B137" s="15" t="s">
        <v>137</v>
      </c>
      <c r="C137" s="16">
        <v>45897</v>
      </c>
      <c r="D137" s="8">
        <v>1568</v>
      </c>
      <c r="J137"/>
    </row>
    <row r="138" spans="1:10">
      <c r="A138" s="8" t="s">
        <v>107</v>
      </c>
      <c r="B138" s="15">
        <v>201</v>
      </c>
      <c r="C138" s="16">
        <v>45880</v>
      </c>
      <c r="D138" s="8">
        <v>325</v>
      </c>
      <c r="J138"/>
    </row>
    <row r="139" spans="1:10">
      <c r="A139" s="8" t="s">
        <v>76</v>
      </c>
      <c r="B139" s="15" t="s">
        <v>132</v>
      </c>
      <c r="C139" s="16">
        <v>45884</v>
      </c>
      <c r="D139" s="8">
        <v>60</v>
      </c>
      <c r="J139"/>
    </row>
    <row r="140" spans="1:10">
      <c r="A140" s="8" t="s">
        <v>76</v>
      </c>
      <c r="B140" s="15" t="s">
        <v>132</v>
      </c>
      <c r="C140" s="16">
        <v>45895</v>
      </c>
      <c r="D140" s="8">
        <v>565</v>
      </c>
      <c r="J140"/>
    </row>
    <row r="141" spans="1:10">
      <c r="A141" s="8" t="s">
        <v>96</v>
      </c>
      <c r="B141" s="15" t="s">
        <v>138</v>
      </c>
      <c r="C141" s="16">
        <v>45910</v>
      </c>
      <c r="D141" s="8">
        <v>250</v>
      </c>
      <c r="J141"/>
    </row>
    <row r="142" spans="1:10">
      <c r="A142" s="8" t="s">
        <v>96</v>
      </c>
      <c r="B142" s="15" t="s">
        <v>139</v>
      </c>
      <c r="C142" s="16">
        <v>45856</v>
      </c>
      <c r="D142" s="8">
        <v>250</v>
      </c>
      <c r="J142"/>
    </row>
    <row r="143" spans="1:10">
      <c r="A143" s="8" t="s">
        <v>81</v>
      </c>
      <c r="B143" s="15" t="s">
        <v>132</v>
      </c>
      <c r="C143" s="16">
        <v>45922</v>
      </c>
      <c r="D143" s="8">
        <v>428</v>
      </c>
      <c r="J143"/>
    </row>
    <row r="144" spans="1:10">
      <c r="A144" s="8" t="s">
        <v>106</v>
      </c>
      <c r="B144" s="15" t="s">
        <v>132</v>
      </c>
      <c r="C144" s="16">
        <v>45917</v>
      </c>
      <c r="D144" s="8">
        <v>138</v>
      </c>
      <c r="J144"/>
    </row>
    <row r="145" spans="1:10">
      <c r="A145" s="8" t="s">
        <v>17</v>
      </c>
      <c r="B145" s="15" t="s">
        <v>140</v>
      </c>
      <c r="C145" s="16">
        <v>45923</v>
      </c>
      <c r="D145" s="8">
        <v>394</v>
      </c>
      <c r="J145"/>
    </row>
    <row r="146" spans="1:10">
      <c r="A146" s="8" t="s">
        <v>17</v>
      </c>
      <c r="B146" s="15" t="s">
        <v>141</v>
      </c>
      <c r="C146" s="16">
        <v>45923</v>
      </c>
      <c r="D146" s="8">
        <v>816</v>
      </c>
      <c r="J146"/>
    </row>
    <row r="147" spans="1:10">
      <c r="A147" s="8" t="s">
        <v>99</v>
      </c>
      <c r="B147" s="15">
        <v>2025050003850410</v>
      </c>
      <c r="C147" s="16">
        <v>45778</v>
      </c>
      <c r="D147" s="8">
        <v>40.593</v>
      </c>
      <c r="J147"/>
    </row>
    <row r="148" spans="1:10">
      <c r="A148" s="8" t="s">
        <v>99</v>
      </c>
      <c r="B148" s="15">
        <v>2025060004674990</v>
      </c>
      <c r="C148" s="16">
        <v>45809</v>
      </c>
      <c r="D148" s="8">
        <v>40.593</v>
      </c>
      <c r="J148"/>
    </row>
    <row r="149" spans="1:10">
      <c r="A149" s="8" t="s">
        <v>99</v>
      </c>
      <c r="B149" s="23" t="s">
        <v>142</v>
      </c>
      <c r="C149" s="16">
        <v>45748</v>
      </c>
      <c r="D149" s="8">
        <v>40.593</v>
      </c>
      <c r="J149"/>
    </row>
    <row r="150" spans="1:10">
      <c r="A150" s="8" t="s">
        <v>99</v>
      </c>
      <c r="B150" s="23" t="s">
        <v>143</v>
      </c>
      <c r="C150" s="16">
        <v>45839</v>
      </c>
      <c r="D150" s="8">
        <v>40.593</v>
      </c>
      <c r="J150"/>
    </row>
    <row r="151" spans="1:10">
      <c r="A151" s="8" t="s">
        <v>99</v>
      </c>
      <c r="B151" s="23" t="s">
        <v>144</v>
      </c>
      <c r="C151" s="16">
        <v>45870</v>
      </c>
      <c r="D151" s="8">
        <v>40.593</v>
      </c>
      <c r="J151"/>
    </row>
    <row r="152" spans="1:10">
      <c r="A152" s="8" t="s">
        <v>99</v>
      </c>
      <c r="B152" s="23" t="s">
        <v>145</v>
      </c>
      <c r="C152" s="16">
        <v>45901</v>
      </c>
      <c r="D152" s="8">
        <v>40.593</v>
      </c>
      <c r="J152"/>
    </row>
    <row r="153" spans="1:10">
      <c r="A153" s="8" t="s">
        <v>99</v>
      </c>
      <c r="B153" s="23" t="s">
        <v>146</v>
      </c>
      <c r="C153" s="16">
        <v>45931</v>
      </c>
      <c r="D153" s="8">
        <v>40.593</v>
      </c>
      <c r="J153"/>
    </row>
    <row r="154" spans="1:10">
      <c r="A154" s="8" t="s">
        <v>76</v>
      </c>
      <c r="B154" s="23" t="s">
        <v>147</v>
      </c>
      <c r="C154" s="16">
        <v>45957</v>
      </c>
      <c r="D154" s="8">
        <v>190</v>
      </c>
      <c r="J154"/>
    </row>
    <row r="155" spans="1:10">
      <c r="A155" s="8" t="s">
        <v>76</v>
      </c>
      <c r="B155" s="15"/>
      <c r="C155" s="16">
        <v>45988</v>
      </c>
      <c r="D155" s="8">
        <v>100</v>
      </c>
      <c r="J155"/>
    </row>
    <row r="156" spans="1:10">
      <c r="A156" s="8" t="s">
        <v>17</v>
      </c>
      <c r="B156" s="15" t="s">
        <v>148</v>
      </c>
      <c r="C156" s="16">
        <v>45972</v>
      </c>
      <c r="D156" s="8">
        <v>387</v>
      </c>
      <c r="J156"/>
    </row>
    <row r="157" spans="1:10">
      <c r="A157" s="8" t="s">
        <v>17</v>
      </c>
      <c r="B157" s="15">
        <v>20250137</v>
      </c>
      <c r="C157" s="16">
        <v>45972</v>
      </c>
      <c r="D157" s="8">
        <v>150</v>
      </c>
      <c r="J157"/>
    </row>
    <row r="158" spans="1:10">
      <c r="A158" s="8" t="s">
        <v>54</v>
      </c>
      <c r="B158" s="15">
        <v>838</v>
      </c>
      <c r="C158" s="16">
        <v>45990</v>
      </c>
      <c r="D158" s="8">
        <v>1153</v>
      </c>
      <c r="J158"/>
    </row>
    <row r="159" spans="1:10">
      <c r="A159" s="8" t="s">
        <v>54</v>
      </c>
      <c r="B159" s="15" t="s">
        <v>21</v>
      </c>
      <c r="C159" s="16">
        <v>45901</v>
      </c>
      <c r="D159" s="8">
        <v>2000</v>
      </c>
      <c r="J159"/>
    </row>
    <row r="160" spans="1:10">
      <c r="A160" s="8" t="s">
        <v>109</v>
      </c>
      <c r="B160" s="15" t="s">
        <v>149</v>
      </c>
      <c r="C160" s="16">
        <v>45798</v>
      </c>
      <c r="D160" s="8">
        <v>19.5</v>
      </c>
      <c r="J160"/>
    </row>
    <row r="161" spans="1:10">
      <c r="A161" s="8" t="s">
        <v>109</v>
      </c>
      <c r="B161" s="15" t="s">
        <v>150</v>
      </c>
      <c r="C161" s="16">
        <v>45818</v>
      </c>
      <c r="D161" s="8">
        <v>17</v>
      </c>
      <c r="J161"/>
    </row>
    <row r="162" spans="1:10">
      <c r="A162" s="8" t="s">
        <v>109</v>
      </c>
      <c r="B162" s="15" t="s">
        <v>151</v>
      </c>
      <c r="C162" s="16">
        <v>45825</v>
      </c>
      <c r="D162" s="8">
        <v>33</v>
      </c>
      <c r="J162"/>
    </row>
    <row r="163" spans="1:10">
      <c r="A163" s="8" t="s">
        <v>109</v>
      </c>
      <c r="B163" s="15" t="s">
        <v>152</v>
      </c>
      <c r="C163" s="16">
        <v>45832</v>
      </c>
      <c r="D163" s="8">
        <v>16.5</v>
      </c>
      <c r="J163"/>
    </row>
    <row r="164" spans="1:10">
      <c r="A164" s="8" t="s">
        <v>109</v>
      </c>
      <c r="B164" s="15" t="s">
        <v>153</v>
      </c>
      <c r="C164" s="16">
        <v>45847</v>
      </c>
      <c r="D164" s="8">
        <v>33</v>
      </c>
      <c r="J164"/>
    </row>
    <row r="165" spans="1:10">
      <c r="A165" s="8" t="s">
        <v>109</v>
      </c>
      <c r="B165" s="15" t="s">
        <v>154</v>
      </c>
      <c r="C165" s="16">
        <v>45853</v>
      </c>
      <c r="D165" s="8">
        <v>33</v>
      </c>
      <c r="J165"/>
    </row>
    <row r="166" spans="1:10">
      <c r="A166" s="8" t="s">
        <v>109</v>
      </c>
      <c r="B166" s="15" t="s">
        <v>155</v>
      </c>
      <c r="C166" s="16">
        <v>45869</v>
      </c>
      <c r="D166" s="8">
        <v>33</v>
      </c>
      <c r="J166"/>
    </row>
    <row r="167" spans="1:10">
      <c r="A167" s="8" t="s">
        <v>109</v>
      </c>
      <c r="B167" s="15" t="s">
        <v>156</v>
      </c>
      <c r="C167" s="16">
        <v>45910</v>
      </c>
      <c r="D167" s="8">
        <v>49.5</v>
      </c>
      <c r="J167"/>
    </row>
    <row r="168" spans="1:10">
      <c r="A168" s="8" t="s">
        <v>109</v>
      </c>
      <c r="B168" s="15" t="s">
        <v>157</v>
      </c>
      <c r="C168" s="16">
        <v>45945</v>
      </c>
      <c r="D168" s="8">
        <v>33</v>
      </c>
      <c r="J168"/>
    </row>
    <row r="169" spans="1:10">
      <c r="A169" s="8" t="s">
        <v>109</v>
      </c>
      <c r="B169" s="15" t="s">
        <v>158</v>
      </c>
      <c r="C169" s="16">
        <v>45961</v>
      </c>
      <c r="D169" s="8">
        <v>16.5</v>
      </c>
      <c r="J169"/>
    </row>
    <row r="170" spans="1:10">
      <c r="A170" s="8" t="s">
        <v>109</v>
      </c>
      <c r="B170" s="15" t="s">
        <v>159</v>
      </c>
      <c r="C170" s="16">
        <v>45972</v>
      </c>
      <c r="D170" s="8">
        <v>33</v>
      </c>
      <c r="J170"/>
    </row>
    <row r="171" spans="1:10">
      <c r="A171" s="8" t="s">
        <v>109</v>
      </c>
      <c r="B171" s="15" t="s">
        <v>160</v>
      </c>
      <c r="C171" s="16">
        <v>46007</v>
      </c>
      <c r="D171" s="8">
        <v>17</v>
      </c>
      <c r="J171"/>
    </row>
    <row r="172" spans="1:10">
      <c r="A172" s="8" t="s">
        <v>107</v>
      </c>
      <c r="B172" s="15" t="s">
        <v>132</v>
      </c>
      <c r="C172" s="16">
        <v>45967</v>
      </c>
      <c r="D172" s="8">
        <v>325</v>
      </c>
      <c r="J172"/>
    </row>
    <row r="173" spans="1:10">
      <c r="A173" s="8" t="s">
        <v>110</v>
      </c>
      <c r="B173" s="15" t="s">
        <v>161</v>
      </c>
      <c r="C173" s="16">
        <v>45979</v>
      </c>
      <c r="D173" s="8">
        <v>1351</v>
      </c>
      <c r="J173"/>
    </row>
    <row r="174" spans="1:10">
      <c r="A174" s="8" t="s">
        <v>112</v>
      </c>
      <c r="B174" s="15" t="s">
        <v>132</v>
      </c>
      <c r="C174" s="16">
        <v>45908</v>
      </c>
      <c r="D174" s="8">
        <v>418.8</v>
      </c>
      <c r="J174"/>
    </row>
    <row r="175" spans="1:10">
      <c r="A175" s="8" t="s">
        <v>106</v>
      </c>
      <c r="B175" s="15"/>
      <c r="C175" s="16">
        <v>46001</v>
      </c>
      <c r="D175" s="8">
        <v>440</v>
      </c>
      <c r="J175"/>
    </row>
    <row r="176" spans="1:10">
      <c r="A176" s="8" t="s">
        <v>113</v>
      </c>
      <c r="B176" s="15" t="s">
        <v>162</v>
      </c>
      <c r="C176" s="16">
        <v>45999</v>
      </c>
      <c r="D176" s="17">
        <v>3995</v>
      </c>
      <c r="J176"/>
    </row>
    <row r="177" spans="1:10">
      <c r="A177" s="8" t="s">
        <v>113</v>
      </c>
      <c r="B177" s="15" t="s">
        <v>163</v>
      </c>
      <c r="C177" s="16">
        <v>45999</v>
      </c>
      <c r="D177" s="17">
        <v>3437.5</v>
      </c>
      <c r="J177"/>
    </row>
    <row r="178" spans="1:10">
      <c r="A178" s="8" t="s">
        <v>113</v>
      </c>
      <c r="B178" s="15" t="s">
        <v>164</v>
      </c>
      <c r="C178" s="16">
        <v>45994</v>
      </c>
      <c r="D178" s="8">
        <v>74</v>
      </c>
      <c r="J178"/>
    </row>
    <row r="179" spans="1:10">
      <c r="A179" s="8" t="s">
        <v>113</v>
      </c>
      <c r="B179" s="15" t="s">
        <v>165</v>
      </c>
      <c r="C179" s="16">
        <v>46000</v>
      </c>
      <c r="D179" s="17">
        <v>2996.25</v>
      </c>
      <c r="J179"/>
    </row>
    <row r="180" spans="1:10">
      <c r="A180" s="8" t="s">
        <v>17</v>
      </c>
      <c r="B180" s="15" t="s">
        <v>166</v>
      </c>
      <c r="C180" s="16">
        <v>46006</v>
      </c>
      <c r="D180" s="17">
        <v>1100</v>
      </c>
      <c r="J180"/>
    </row>
    <row r="181" spans="1:10">
      <c r="A181" s="8" t="s">
        <v>114</v>
      </c>
      <c r="B181" s="15" t="s">
        <v>167</v>
      </c>
      <c r="C181" s="16">
        <v>46006</v>
      </c>
      <c r="D181" s="17">
        <v>1080</v>
      </c>
      <c r="J181"/>
    </row>
    <row r="182" spans="1:10">
      <c r="A182" s="8" t="s">
        <v>11</v>
      </c>
      <c r="B182" s="15">
        <v>27</v>
      </c>
      <c r="C182" s="16">
        <v>46006</v>
      </c>
      <c r="D182" s="17">
        <v>525</v>
      </c>
      <c r="J182"/>
    </row>
    <row r="183" spans="1:10">
      <c r="A183" s="8" t="s">
        <v>11</v>
      </c>
      <c r="B183" s="15">
        <v>26</v>
      </c>
      <c r="C183" s="16">
        <v>46002</v>
      </c>
      <c r="D183" s="17">
        <v>523</v>
      </c>
      <c r="J183"/>
    </row>
    <row r="184" spans="1:10">
      <c r="A184" s="8" t="s">
        <v>99</v>
      </c>
      <c r="B184" s="15">
        <v>2025123100602220</v>
      </c>
      <c r="C184" s="16">
        <v>45992</v>
      </c>
      <c r="D184" s="17">
        <v>40.593</v>
      </c>
      <c r="J184"/>
    </row>
    <row r="185" spans="1:10">
      <c r="A185" s="8" t="s">
        <v>50</v>
      </c>
      <c r="B185" s="15"/>
      <c r="C185" s="16">
        <v>45901</v>
      </c>
      <c r="D185" s="17">
        <v>2100</v>
      </c>
      <c r="J185"/>
    </row>
    <row r="186" spans="1:10">
      <c r="A186" s="8" t="s">
        <v>94</v>
      </c>
      <c r="B186" s="15"/>
      <c r="C186" s="16">
        <v>45901</v>
      </c>
      <c r="D186" s="8">
        <v>1548</v>
      </c>
      <c r="J186"/>
    </row>
    <row r="187" spans="4:4">
      <c r="D187" s="22"/>
    </row>
  </sheetData>
  <autoFilter xmlns:etc="http://www.wps.cn/officeDocument/2017/etCustomData" ref="A1:D18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10"/>
  <sheetViews>
    <sheetView topLeftCell="A34" workbookViewId="0">
      <selection activeCell="A53" sqref="A53"/>
    </sheetView>
  </sheetViews>
  <sheetFormatPr defaultColWidth="11" defaultRowHeight="15" outlineLevelCol="3"/>
  <cols>
    <col min="1" max="1" width="29.7142857142857" style="4" customWidth="1"/>
    <col min="2" max="2" width="17.1428571428571" style="4" customWidth="1"/>
    <col min="3" max="3" width="25.1428571428571" style="4" customWidth="1"/>
    <col min="4" max="4" width="13.5714285714286" customWidth="1"/>
  </cols>
  <sheetData>
    <row r="1" spans="1:4">
      <c r="A1" s="5" t="s">
        <v>168</v>
      </c>
      <c r="B1" s="6" t="s">
        <v>169</v>
      </c>
      <c r="C1" s="6" t="s">
        <v>170</v>
      </c>
      <c r="D1" s="5" t="s">
        <v>171</v>
      </c>
    </row>
    <row r="2" spans="1:4">
      <c r="A2" s="7" t="s">
        <v>4</v>
      </c>
      <c r="B2" s="8">
        <f>SUMIF(Dépenses!A:A,'Revenus par client'!A2,Dépenses!D:D)</f>
        <v>5024.519</v>
      </c>
      <c r="C2" s="7">
        <f>COUNTIF(Dépenses!A:A,'Revenus par client'!A2)</f>
        <v>8</v>
      </c>
      <c r="D2" s="9">
        <f t="shared" ref="D2:D65" si="0">B2/$B$86</f>
        <v>0.0268879145857499</v>
      </c>
    </row>
    <row r="3" spans="1:4">
      <c r="A3" s="7" t="s">
        <v>7</v>
      </c>
      <c r="B3" s="8">
        <f>SUMIF(Dépenses!A:A,'Revenus par client'!A3,Dépenses!D:D)</f>
        <v>4721.75</v>
      </c>
      <c r="C3" s="7">
        <f>COUNTIF(Dépenses!A:A,'Revenus par client'!A3)</f>
        <v>2</v>
      </c>
      <c r="D3" s="9">
        <f t="shared" si="0"/>
        <v>0.0252676944191602</v>
      </c>
    </row>
    <row r="4" spans="1:4">
      <c r="A4" s="7" t="s">
        <v>9</v>
      </c>
      <c r="B4" s="8">
        <f>SUMIF(Dépenses!A:A,'Revenus par client'!A4,Dépenses!D:D)</f>
        <v>9345.79495</v>
      </c>
      <c r="C4" s="7">
        <f>COUNTIF(Dépenses!A:A,'Revenus par client'!A4)</f>
        <v>2</v>
      </c>
      <c r="D4" s="9">
        <f t="shared" si="0"/>
        <v>0.0500125357972639</v>
      </c>
    </row>
    <row r="5" spans="1:4">
      <c r="A5" s="7" t="s">
        <v>172</v>
      </c>
      <c r="B5" s="8">
        <f>SUMIF(Dépenses!A:A,'Revenus par client'!A5,Dépenses!D:D)</f>
        <v>0</v>
      </c>
      <c r="C5" s="7">
        <f>COUNTIF(Dépenses!A:A,'Revenus par client'!A5)</f>
        <v>0</v>
      </c>
      <c r="D5" s="9">
        <f t="shared" si="0"/>
        <v>0</v>
      </c>
    </row>
    <row r="6" spans="1:4">
      <c r="A6" s="7" t="s">
        <v>13</v>
      </c>
      <c r="B6" s="8">
        <f>SUMIF(Dépenses!A:A,'Revenus par client'!A6,Dépenses!D:D)</f>
        <v>762</v>
      </c>
      <c r="C6" s="7">
        <f>COUNTIF(Dépenses!A:A,'Revenus par client'!A6)</f>
        <v>1</v>
      </c>
      <c r="D6" s="9">
        <f t="shared" si="0"/>
        <v>0.00407772185045801</v>
      </c>
    </row>
    <row r="7" spans="1:4">
      <c r="A7" s="7" t="s">
        <v>15</v>
      </c>
      <c r="B7" s="8">
        <f>SUMIF(Dépenses!A:A,'Revenus par client'!A7,Dépenses!D:D)</f>
        <v>4316.2</v>
      </c>
      <c r="C7" s="7">
        <f>COUNTIF(Dépenses!A:A,'Revenus par client'!A7)</f>
        <v>2</v>
      </c>
      <c r="D7" s="9">
        <f t="shared" si="0"/>
        <v>0.0230974580721087</v>
      </c>
    </row>
    <row r="8" spans="1:4">
      <c r="A8" s="7" t="s">
        <v>17</v>
      </c>
      <c r="B8" s="8">
        <f>SUMIF(Dépenses!A:A,'Revenus par client'!A8,Dépenses!D:D)</f>
        <v>40138</v>
      </c>
      <c r="C8" s="7">
        <f>COUNTIF(Dépenses!A:A,'Revenus par client'!A8)</f>
        <v>13</v>
      </c>
      <c r="D8" s="9">
        <f t="shared" si="0"/>
        <v>0.214792125503522</v>
      </c>
    </row>
    <row r="9" spans="1:4">
      <c r="A9" s="7" t="s">
        <v>19</v>
      </c>
      <c r="B9" s="8">
        <f>SUMIF(Dépenses!A:A,'Revenus par client'!A9,Dépenses!D:D)</f>
        <v>22453.03</v>
      </c>
      <c r="C9" s="7">
        <f>COUNTIF(Dépenses!A:A,'Revenus par client'!A9)</f>
        <v>2</v>
      </c>
      <c r="D9" s="9">
        <f t="shared" si="0"/>
        <v>0.120153820262453</v>
      </c>
    </row>
    <row r="10" spans="1:4">
      <c r="A10" s="7" t="s">
        <v>20</v>
      </c>
      <c r="B10" s="8">
        <f>SUMIF(Dépenses!A:A,'Revenus par client'!A10,Dépenses!D:D)</f>
        <v>2130</v>
      </c>
      <c r="C10" s="7">
        <f>COUNTIF(Dépenses!A:A,'Revenus par client'!A10)</f>
        <v>2</v>
      </c>
      <c r="D10" s="9">
        <f t="shared" si="0"/>
        <v>0.0113983563536425</v>
      </c>
    </row>
    <row r="11" spans="1:4">
      <c r="A11" s="7" t="s">
        <v>22</v>
      </c>
      <c r="B11" s="8">
        <f>SUMIF(Dépenses!A:A,'Revenus par client'!A11,Dépenses!D:D)</f>
        <v>950</v>
      </c>
      <c r="C11" s="7">
        <f>COUNTIF(Dépenses!A:A,'Revenus par client'!A11)</f>
        <v>1</v>
      </c>
      <c r="D11" s="9">
        <f t="shared" si="0"/>
        <v>0.00508377396054476</v>
      </c>
    </row>
    <row r="12" spans="1:4">
      <c r="A12" s="7" t="s">
        <v>24</v>
      </c>
      <c r="B12" s="8">
        <f>SUMIF(Dépenses!A:A,'Revenus par client'!A12,Dépenses!D:D)</f>
        <v>1797</v>
      </c>
      <c r="C12" s="7">
        <f>COUNTIF(Dépenses!A:A,'Revenus par client'!A12)</f>
        <v>1</v>
      </c>
      <c r="D12" s="9">
        <f t="shared" si="0"/>
        <v>0.00961635979694624</v>
      </c>
    </row>
    <row r="13" spans="1:4">
      <c r="A13" s="7" t="s">
        <v>26</v>
      </c>
      <c r="B13" s="8">
        <f>SUMIF(Dépenses!A:A,'Revenus par client'!A13,Dépenses!D:D)</f>
        <v>465.2</v>
      </c>
      <c r="C13" s="7">
        <f>COUNTIF(Dépenses!A:A,'Revenus par client'!A13)</f>
        <v>2</v>
      </c>
      <c r="D13" s="9">
        <f t="shared" si="0"/>
        <v>0.0024894438383636</v>
      </c>
    </row>
    <row r="14" spans="1:4">
      <c r="A14" s="7" t="s">
        <v>28</v>
      </c>
      <c r="B14" s="8">
        <f>SUMIF(Dépenses!A:A,'Revenus par client'!A14,Dépenses!D:D)</f>
        <v>294.35</v>
      </c>
      <c r="C14" s="7">
        <f>COUNTIF(Dépenses!A:A,'Revenus par client'!A14)</f>
        <v>2</v>
      </c>
      <c r="D14" s="9">
        <f t="shared" si="0"/>
        <v>0.00157516722661721</v>
      </c>
    </row>
    <row r="15" spans="1:4">
      <c r="A15" s="7" t="s">
        <v>30</v>
      </c>
      <c r="B15" s="8">
        <f>SUMIF(Dépenses!A:A,'Revenus par client'!A15,Dépenses!D:D)</f>
        <v>1500.476</v>
      </c>
      <c r="C15" s="7">
        <f>COUNTIF(Dépenses!A:A,'Revenus par client'!A15)</f>
        <v>1</v>
      </c>
      <c r="D15" s="9">
        <f t="shared" si="0"/>
        <v>0.0080295587549709</v>
      </c>
    </row>
    <row r="16" spans="1:4">
      <c r="A16" s="7" t="s">
        <v>32</v>
      </c>
      <c r="B16" s="8">
        <f>SUMIF(Dépenses!A:A,'Revenus par client'!A16,Dépenses!D:D)</f>
        <v>743.7</v>
      </c>
      <c r="C16" s="7">
        <f>COUNTIF(Dépenses!A:A,'Revenus par client'!A16)</f>
        <v>12</v>
      </c>
      <c r="D16" s="9">
        <f t="shared" si="0"/>
        <v>0.00397979230995488</v>
      </c>
    </row>
    <row r="17" spans="1:4">
      <c r="A17" s="7" t="s">
        <v>33</v>
      </c>
      <c r="B17" s="8">
        <f>SUMIF(Dépenses!A:A,'Revenus par client'!A17,Dépenses!D:D)</f>
        <v>678.87</v>
      </c>
      <c r="C17" s="7">
        <f>COUNTIF(Dépenses!A:A,'Revenus par client'!A17)</f>
        <v>2</v>
      </c>
      <c r="D17" s="9">
        <f t="shared" si="0"/>
        <v>0.00363286487220529</v>
      </c>
    </row>
    <row r="18" spans="1:4">
      <c r="A18" s="7" t="s">
        <v>35</v>
      </c>
      <c r="B18" s="8">
        <f>SUMIF(Dépenses!A:A,'Revenus par client'!A18,Dépenses!D:D)</f>
        <v>1212.9</v>
      </c>
      <c r="C18" s="7">
        <f>COUNTIF(Dépenses!A:A,'Revenus par client'!A18)</f>
        <v>2</v>
      </c>
      <c r="D18" s="9">
        <f t="shared" si="0"/>
        <v>0.00649064151236288</v>
      </c>
    </row>
    <row r="19" spans="1:4">
      <c r="A19" s="7" t="s">
        <v>37</v>
      </c>
      <c r="B19" s="8">
        <f>SUMIF(Dépenses!A:A,'Revenus par client'!A19,Dépenses!D:D)</f>
        <v>600</v>
      </c>
      <c r="C19" s="7">
        <f>COUNTIF(Dépenses!A:A,'Revenus par client'!A19)</f>
        <v>1</v>
      </c>
      <c r="D19" s="9">
        <f t="shared" si="0"/>
        <v>0.00321080460665985</v>
      </c>
    </row>
    <row r="20" spans="1:4">
      <c r="A20" s="7" t="s">
        <v>38</v>
      </c>
      <c r="B20" s="8">
        <f>SUMIF(Dépenses!A:A,'Revenus par client'!A20,Dépenses!D:D)</f>
        <v>1761.6</v>
      </c>
      <c r="C20" s="7">
        <f>COUNTIF(Dépenses!A:A,'Revenus par client'!A20)</f>
        <v>3</v>
      </c>
      <c r="D20" s="9">
        <f t="shared" si="0"/>
        <v>0.00942692232515331</v>
      </c>
    </row>
    <row r="21" spans="1:4">
      <c r="A21" s="7" t="s">
        <v>39</v>
      </c>
      <c r="B21" s="8">
        <f>SUMIF(Dépenses!A:A,'Revenus par client'!A21,Dépenses!D:D)</f>
        <v>9254.4</v>
      </c>
      <c r="C21" s="7">
        <f>COUNTIF(Dépenses!A:A,'Revenus par client'!A21)</f>
        <v>3</v>
      </c>
      <c r="D21" s="9">
        <f t="shared" si="0"/>
        <v>0.0495234502531215</v>
      </c>
    </row>
    <row r="22" spans="1:4">
      <c r="A22" s="7" t="s">
        <v>40</v>
      </c>
      <c r="B22" s="8">
        <f>SUMIF(Dépenses!A:A,'Revenus par client'!A22,Dépenses!D:D)</f>
        <v>1250</v>
      </c>
      <c r="C22" s="7">
        <f>COUNTIF(Dépenses!A:A,'Revenus par client'!A22)</f>
        <v>1</v>
      </c>
      <c r="D22" s="9">
        <f t="shared" si="0"/>
        <v>0.00668917626387468</v>
      </c>
    </row>
    <row r="23" spans="1:4">
      <c r="A23" s="7" t="s">
        <v>41</v>
      </c>
      <c r="B23" s="8">
        <f>SUMIF(Dépenses!A:A,'Revenus par client'!A23,Dépenses!D:D)</f>
        <v>1542.5</v>
      </c>
      <c r="C23" s="7">
        <f>COUNTIF(Dépenses!A:A,'Revenus par client'!A23)</f>
        <v>2</v>
      </c>
      <c r="D23" s="9">
        <f t="shared" si="0"/>
        <v>0.00825444350962136</v>
      </c>
    </row>
    <row r="24" spans="1:4">
      <c r="A24" s="7" t="s">
        <v>42</v>
      </c>
      <c r="B24" s="8">
        <f>SUMIF(Dépenses!A:A,'Revenus par client'!A24,Dépenses!D:D)</f>
        <v>16595</v>
      </c>
      <c r="C24" s="7">
        <f>COUNTIF(Dépenses!A:A,'Revenus par client'!A24)</f>
        <v>2</v>
      </c>
      <c r="D24" s="9">
        <f t="shared" si="0"/>
        <v>0.0888055040792003</v>
      </c>
    </row>
    <row r="25" spans="1:4">
      <c r="A25" s="7" t="s">
        <v>44</v>
      </c>
      <c r="B25" s="8">
        <f>SUMIF(Dépenses!A:A,'Revenus par client'!A25,Dépenses!D:D)</f>
        <v>1800</v>
      </c>
      <c r="C25" s="7">
        <f>COUNTIF(Dépenses!A:A,'Revenus par client'!A25)</f>
        <v>1</v>
      </c>
      <c r="D25" s="9">
        <f t="shared" si="0"/>
        <v>0.00963241381997955</v>
      </c>
    </row>
    <row r="26" spans="1:4">
      <c r="A26" s="7" t="s">
        <v>45</v>
      </c>
      <c r="B26" s="8">
        <f>SUMIF(Dépenses!A:A,'Revenus par client'!A26,Dépenses!D:D)</f>
        <v>440</v>
      </c>
      <c r="C26" s="7">
        <f>COUNTIF(Dépenses!A:A,'Revenus par client'!A26)</f>
        <v>1</v>
      </c>
      <c r="D26" s="9">
        <f t="shared" si="0"/>
        <v>0.00235459004488389</v>
      </c>
    </row>
    <row r="27" spans="1:4">
      <c r="A27" s="7" t="s">
        <v>46</v>
      </c>
      <c r="B27" s="8">
        <f>SUMIF(Dépenses!A:A,'Revenus par client'!A27,Dépenses!D:D)</f>
        <v>230</v>
      </c>
      <c r="C27" s="7">
        <f>COUNTIF(Dépenses!A:A,'Revenus par client'!A27)</f>
        <v>1</v>
      </c>
      <c r="D27" s="9">
        <f t="shared" si="0"/>
        <v>0.00123080843255294</v>
      </c>
    </row>
    <row r="28" spans="1:4">
      <c r="A28" s="7" t="s">
        <v>47</v>
      </c>
      <c r="B28" s="8">
        <f>SUMIF(Dépenses!A:A,'Revenus par client'!A28,Dépenses!D:D)</f>
        <v>420</v>
      </c>
      <c r="C28" s="7">
        <f>COUNTIF(Dépenses!A:A,'Revenus par client'!A28)</f>
        <v>1</v>
      </c>
      <c r="D28" s="9">
        <f t="shared" si="0"/>
        <v>0.00224756322466189</v>
      </c>
    </row>
    <row r="29" spans="1:4">
      <c r="A29" s="7" t="s">
        <v>48</v>
      </c>
      <c r="B29" s="8">
        <f>SUMIF(Dépenses!A:A,'Revenus par client'!A29,Dépenses!D:D)</f>
        <v>640</v>
      </c>
      <c r="C29" s="7">
        <f>COUNTIF(Dépenses!A:A,'Revenus par client'!A29)</f>
        <v>2</v>
      </c>
      <c r="D29" s="9">
        <f t="shared" si="0"/>
        <v>0.00342485824710384</v>
      </c>
    </row>
    <row r="30" spans="1:4">
      <c r="A30" s="7" t="s">
        <v>49</v>
      </c>
      <c r="B30" s="8">
        <f>SUMIF(Dépenses!A:A,'Revenus par client'!A30,Dépenses!D:D)</f>
        <v>250</v>
      </c>
      <c r="C30" s="7">
        <f>COUNTIF(Dépenses!A:A,'Revenus par client'!A30)</f>
        <v>1</v>
      </c>
      <c r="D30" s="9">
        <f t="shared" si="0"/>
        <v>0.00133783525277494</v>
      </c>
    </row>
    <row r="31" spans="1:4">
      <c r="A31" s="7" t="s">
        <v>50</v>
      </c>
      <c r="B31" s="8">
        <f>SUMIF(Dépenses!A:A,'Revenus par client'!A31,Dépenses!D:D)</f>
        <v>3000</v>
      </c>
      <c r="C31" s="7">
        <f>COUNTIF(Dépenses!A:A,'Revenus par client'!A31)</f>
        <v>2</v>
      </c>
      <c r="D31" s="9">
        <f t="shared" si="0"/>
        <v>0.0160540230332992</v>
      </c>
    </row>
    <row r="32" spans="1:4">
      <c r="A32" s="7" t="s">
        <v>52</v>
      </c>
      <c r="B32" s="8">
        <f>SUMIF(Dépenses!A:A,'Revenus par client'!A32,Dépenses!D:D)</f>
        <v>215</v>
      </c>
      <c r="C32" s="7">
        <f>COUNTIF(Dépenses!A:A,'Revenus par client'!A32)</f>
        <v>2</v>
      </c>
      <c r="D32" s="9">
        <f t="shared" si="0"/>
        <v>0.00115053831738645</v>
      </c>
    </row>
    <row r="33" spans="1:4">
      <c r="A33" s="7" t="s">
        <v>54</v>
      </c>
      <c r="B33" s="8">
        <f>SUMIF(Dépenses!A:A,'Revenus par client'!A33,Dépenses!D:D)</f>
        <v>4077</v>
      </c>
      <c r="C33" s="7">
        <f>COUNTIF(Dépenses!A:A,'Revenus par client'!A33)</f>
        <v>4</v>
      </c>
      <c r="D33" s="9">
        <f t="shared" si="0"/>
        <v>0.0218174173022537</v>
      </c>
    </row>
    <row r="34" spans="1:4">
      <c r="A34" s="7" t="s">
        <v>56</v>
      </c>
      <c r="B34" s="8">
        <f>SUMIF(Dépenses!A:A,'Revenus par client'!A34,Dépenses!D:D)</f>
        <v>200</v>
      </c>
      <c r="C34" s="7">
        <f>COUNTIF(Dépenses!A:A,'Revenus par client'!A34)</f>
        <v>1</v>
      </c>
      <c r="D34" s="9">
        <f t="shared" si="0"/>
        <v>0.00107026820221995</v>
      </c>
    </row>
    <row r="35" spans="1:4">
      <c r="A35" s="7" t="s">
        <v>57</v>
      </c>
      <c r="B35" s="8">
        <f>SUMIF(Dépenses!A:A,'Revenus par client'!A35,Dépenses!D:D)</f>
        <v>200</v>
      </c>
      <c r="C35" s="7">
        <f>COUNTIF(Dépenses!A:A,'Revenus par client'!A35)</f>
        <v>1</v>
      </c>
      <c r="D35" s="9">
        <f t="shared" si="0"/>
        <v>0.00107026820221995</v>
      </c>
    </row>
    <row r="36" spans="1:4">
      <c r="A36" s="7" t="s">
        <v>58</v>
      </c>
      <c r="B36" s="8">
        <f>SUMIF(Dépenses!A:A,'Revenus par client'!A36,Dépenses!D:D)</f>
        <v>250</v>
      </c>
      <c r="C36" s="7">
        <f>COUNTIF(Dépenses!A:A,'Revenus par client'!A36)</f>
        <v>1</v>
      </c>
      <c r="D36" s="9">
        <f t="shared" si="0"/>
        <v>0.00133783525277494</v>
      </c>
    </row>
    <row r="37" spans="1:4">
      <c r="A37" s="7" t="s">
        <v>59</v>
      </c>
      <c r="B37" s="8">
        <f>SUMIF(Dépenses!A:A,'Revenus par client'!A37,Dépenses!D:D)</f>
        <v>20</v>
      </c>
      <c r="C37" s="7">
        <f>COUNTIF(Dépenses!A:A,'Revenus par client'!A37)</f>
        <v>1</v>
      </c>
      <c r="D37" s="9">
        <f t="shared" si="0"/>
        <v>0.000107026820221995</v>
      </c>
    </row>
    <row r="38" spans="1:4">
      <c r="A38" s="7" t="s">
        <v>60</v>
      </c>
      <c r="B38" s="8">
        <f>SUMIF(Dépenses!A:A,'Revenus par client'!A38,Dépenses!D:D)</f>
        <v>0</v>
      </c>
      <c r="C38" s="7">
        <f>COUNTIF(Dépenses!A:A,'Revenus par client'!A38)</f>
        <v>0</v>
      </c>
      <c r="D38" s="9">
        <f t="shared" si="0"/>
        <v>0</v>
      </c>
    </row>
    <row r="39" spans="1:4">
      <c r="A39" s="7" t="s">
        <v>62</v>
      </c>
      <c r="B39" s="8">
        <f>SUMIF(Dépenses!A:A,'Revenus par client'!A39,Dépenses!D:D)</f>
        <v>300</v>
      </c>
      <c r="C39" s="7">
        <f>COUNTIF(Dépenses!A:A,'Revenus par client'!A39)</f>
        <v>1</v>
      </c>
      <c r="D39" s="9">
        <f t="shared" si="0"/>
        <v>0.00160540230332992</v>
      </c>
    </row>
    <row r="40" spans="1:4">
      <c r="A40" s="7" t="s">
        <v>64</v>
      </c>
      <c r="B40" s="8">
        <f>SUMIF(Dépenses!A:A,'Revenus par client'!A40,Dépenses!D:D)</f>
        <v>350</v>
      </c>
      <c r="C40" s="7">
        <f>COUNTIF(Dépenses!A:A,'Revenus par client'!A40)</f>
        <v>1</v>
      </c>
      <c r="D40" s="9">
        <f t="shared" si="0"/>
        <v>0.00187296935388491</v>
      </c>
    </row>
    <row r="41" spans="1:4">
      <c r="A41" s="7" t="s">
        <v>66</v>
      </c>
      <c r="B41" s="8">
        <f>SUMIF(Dépenses!A:A,'Revenus par client'!A41,Dépenses!D:D)</f>
        <v>380</v>
      </c>
      <c r="C41" s="7">
        <f>COUNTIF(Dépenses!A:A,'Revenus par client'!A41)</f>
        <v>1</v>
      </c>
      <c r="D41" s="9">
        <f t="shared" si="0"/>
        <v>0.0020335095842179</v>
      </c>
    </row>
    <row r="42" spans="1:4">
      <c r="A42" s="7" t="s">
        <v>68</v>
      </c>
      <c r="B42" s="8">
        <f>SUMIF(Dépenses!A:A,'Revenus par client'!A42,Dépenses!D:D)</f>
        <v>120</v>
      </c>
      <c r="C42" s="7">
        <f>COUNTIF(Dépenses!A:A,'Revenus par client'!A42)</f>
        <v>1</v>
      </c>
      <c r="D42" s="9">
        <f t="shared" si="0"/>
        <v>0.00064216092133197</v>
      </c>
    </row>
    <row r="43" spans="1:4">
      <c r="A43" s="7" t="s">
        <v>70</v>
      </c>
      <c r="B43" s="8">
        <f>SUMIF(Dépenses!A:A,'Revenus par client'!A43,Dépenses!D:D)</f>
        <v>140</v>
      </c>
      <c r="C43" s="7">
        <f>COUNTIF(Dépenses!A:A,'Revenus par client'!A43)</f>
        <v>1</v>
      </c>
      <c r="D43" s="9">
        <f t="shared" si="0"/>
        <v>0.000749187741553965</v>
      </c>
    </row>
    <row r="44" spans="1:4">
      <c r="A44" s="7" t="s">
        <v>72</v>
      </c>
      <c r="B44" s="8">
        <f>SUMIF(Dépenses!A:A,'Revenus par client'!A44,Dépenses!D:D)</f>
        <v>70</v>
      </c>
      <c r="C44" s="7">
        <f>COUNTIF(Dépenses!A:A,'Revenus par client'!A44)</f>
        <v>1</v>
      </c>
      <c r="D44" s="9">
        <f t="shared" si="0"/>
        <v>0.000374593870776982</v>
      </c>
    </row>
    <row r="45" spans="1:4">
      <c r="A45" s="7" t="s">
        <v>73</v>
      </c>
      <c r="B45" s="8">
        <f>SUMIF(Dépenses!A:A,'Revenus par client'!A45,Dépenses!D:D)</f>
        <v>75</v>
      </c>
      <c r="C45" s="7">
        <f>COUNTIF(Dépenses!A:A,'Revenus par client'!A45)</f>
        <v>1</v>
      </c>
      <c r="D45" s="9">
        <f t="shared" si="0"/>
        <v>0.000401350575832481</v>
      </c>
    </row>
    <row r="46" spans="1:4">
      <c r="A46" s="7" t="s">
        <v>74</v>
      </c>
      <c r="B46" s="8">
        <f>SUMIF(Dépenses!A:A,'Revenus par client'!A46,Dépenses!D:D)</f>
        <v>75</v>
      </c>
      <c r="C46" s="7">
        <f>COUNTIF(Dépenses!A:A,'Revenus par client'!A46)</f>
        <v>1</v>
      </c>
      <c r="D46" s="9">
        <f t="shared" si="0"/>
        <v>0.000401350575832481</v>
      </c>
    </row>
    <row r="47" spans="1:4">
      <c r="A47" s="7" t="s">
        <v>75</v>
      </c>
      <c r="B47" s="8">
        <f>SUMIF(Dépenses!A:A,'Revenus par client'!A47,Dépenses!D:D)</f>
        <v>100</v>
      </c>
      <c r="C47" s="7">
        <f>COUNTIF(Dépenses!A:A,'Revenus par client'!A47)</f>
        <v>1</v>
      </c>
      <c r="D47" s="9">
        <f t="shared" si="0"/>
        <v>0.000535134101109975</v>
      </c>
    </row>
    <row r="48" spans="1:4">
      <c r="A48" s="7" t="s">
        <v>76</v>
      </c>
      <c r="B48" s="8">
        <f>SUMIF(Dépenses!A:A,'Revenus par client'!A48,Dépenses!D:D)</f>
        <v>3450</v>
      </c>
      <c r="C48" s="7">
        <f>COUNTIF(Dépenses!A:A,'Revenus par client'!A48)</f>
        <v>9</v>
      </c>
      <c r="D48" s="9">
        <f t="shared" si="0"/>
        <v>0.0184621264882941</v>
      </c>
    </row>
    <row r="49" spans="1:4">
      <c r="A49" s="7" t="s">
        <v>77</v>
      </c>
      <c r="B49" s="8">
        <f>SUMIF(Dépenses!A:A,'Revenus par client'!A49,Dépenses!D:D)</f>
        <v>1000</v>
      </c>
      <c r="C49" s="7">
        <f>COUNTIF(Dépenses!A:A,'Revenus par client'!A49)</f>
        <v>1</v>
      </c>
      <c r="D49" s="9">
        <f t="shared" si="0"/>
        <v>0.00535134101109975</v>
      </c>
    </row>
    <row r="50" spans="1:4">
      <c r="A50" s="7" t="s">
        <v>78</v>
      </c>
      <c r="B50" s="8">
        <f>SUMIF(Dépenses!A:A,'Revenus par client'!A50,Dépenses!D:D)</f>
        <v>2350</v>
      </c>
      <c r="C50" s="7">
        <f>COUNTIF(Dépenses!A:A,'Revenus par client'!A50)</f>
        <v>1</v>
      </c>
      <c r="D50" s="9">
        <f t="shared" si="0"/>
        <v>0.0125756513760844</v>
      </c>
    </row>
    <row r="51" spans="1:4">
      <c r="A51" s="7" t="s">
        <v>79</v>
      </c>
      <c r="B51" s="8">
        <f>SUMIF(Dépenses!A:A,'Revenus par client'!A51,Dépenses!D:D)</f>
        <v>35.294</v>
      </c>
      <c r="C51" s="7">
        <f>COUNTIF(Dépenses!A:A,'Revenus par client'!A51)</f>
        <v>1</v>
      </c>
      <c r="D51" s="9">
        <f t="shared" si="0"/>
        <v>0.000188870229645754</v>
      </c>
    </row>
    <row r="52" spans="1:4">
      <c r="A52" s="7" t="s">
        <v>80</v>
      </c>
      <c r="B52" s="8">
        <f>SUMIF(Dépenses!A:A,'Revenus par client'!A52,Dépenses!D:D)</f>
        <v>1250</v>
      </c>
      <c r="C52" s="7">
        <f>COUNTIF(Dépenses!A:A,'Revenus par client'!A52)</f>
        <v>1</v>
      </c>
      <c r="D52" s="9">
        <f t="shared" si="0"/>
        <v>0.00668917626387468</v>
      </c>
    </row>
    <row r="53" spans="1:4">
      <c r="A53" s="7" t="s">
        <v>82</v>
      </c>
      <c r="B53" s="8">
        <f>SUMIF(Dépenses!A:A,'Revenus par client'!A53,Dépenses!D:D)</f>
        <v>386.56</v>
      </c>
      <c r="C53" s="7">
        <f>COUNTIF(Dépenses!A:A,'Revenus par client'!A53)</f>
        <v>1</v>
      </c>
      <c r="D53" s="9">
        <f t="shared" si="0"/>
        <v>0.00206861438125072</v>
      </c>
    </row>
    <row r="54" spans="1:4">
      <c r="A54" s="7" t="s">
        <v>84</v>
      </c>
      <c r="B54" s="8">
        <f>SUMIF(Dépenses!A:A,'Revenus par client'!A54,Dépenses!D:D)</f>
        <v>37</v>
      </c>
      <c r="C54" s="7">
        <f>COUNTIF(Dépenses!A:A,'Revenus par client'!A54)</f>
        <v>1</v>
      </c>
      <c r="D54" s="9">
        <f t="shared" si="0"/>
        <v>0.000197999617410691</v>
      </c>
    </row>
    <row r="55" spans="1:4">
      <c r="A55" s="7" t="s">
        <v>85</v>
      </c>
      <c r="B55" s="8">
        <f>SUMIF(Dépenses!A:A,'Revenus par client'!A55,Dépenses!D:D)</f>
        <v>1948</v>
      </c>
      <c r="C55" s="7">
        <f>COUNTIF(Dépenses!A:A,'Revenus par client'!A55)</f>
        <v>1</v>
      </c>
      <c r="D55" s="9">
        <f t="shared" si="0"/>
        <v>0.0104244122896223</v>
      </c>
    </row>
    <row r="56" spans="1:4">
      <c r="A56" s="7" t="s">
        <v>86</v>
      </c>
      <c r="B56" s="8">
        <f>SUMIF(Dépenses!A:A,'Revenus par client'!A56,Dépenses!D:D)</f>
        <v>150</v>
      </c>
      <c r="C56" s="7">
        <f>COUNTIF(Dépenses!A:A,'Revenus par client'!A56)</f>
        <v>2</v>
      </c>
      <c r="D56" s="9">
        <f t="shared" si="0"/>
        <v>0.000802701151664962</v>
      </c>
    </row>
    <row r="57" spans="1:4">
      <c r="A57" s="7" t="s">
        <v>87</v>
      </c>
      <c r="B57" s="8">
        <f>SUMIF(Dépenses!A:A,'Revenus par client'!A57,Dépenses!D:D)</f>
        <v>2900</v>
      </c>
      <c r="C57" s="7">
        <f>COUNTIF(Dépenses!A:A,'Revenus par client'!A57)</f>
        <v>1</v>
      </c>
      <c r="D57" s="9">
        <f t="shared" si="0"/>
        <v>0.0155188889321893</v>
      </c>
    </row>
    <row r="58" spans="1:4">
      <c r="A58" s="7" t="s">
        <v>88</v>
      </c>
      <c r="B58" s="8">
        <f>SUMIF(Dépenses!A:A,'Revenus par client'!A58,Dépenses!D:D)</f>
        <v>205.607</v>
      </c>
      <c r="C58" s="7">
        <f>COUNTIF(Dépenses!A:A,'Revenus par client'!A58)</f>
        <v>1</v>
      </c>
      <c r="D58" s="9">
        <f t="shared" si="0"/>
        <v>0.00110027317126919</v>
      </c>
    </row>
    <row r="59" spans="1:4">
      <c r="A59" s="7" t="s">
        <v>89</v>
      </c>
      <c r="B59" s="8">
        <f>SUMIF(Dépenses!A:A,'Revenus par client'!A59,Dépenses!D:D)</f>
        <v>1967.265</v>
      </c>
      <c r="C59" s="7">
        <f>COUNTIF(Dépenses!A:A,'Revenus par client'!A59)</f>
        <v>2</v>
      </c>
      <c r="D59" s="9">
        <f t="shared" si="0"/>
        <v>0.0105275058742011</v>
      </c>
    </row>
    <row r="60" spans="1:4">
      <c r="A60" s="7" t="s">
        <v>90</v>
      </c>
      <c r="B60" s="8">
        <f>SUMIF(Dépenses!A:A,'Revenus par client'!A60,Dépenses!D:D)</f>
        <v>144</v>
      </c>
      <c r="C60" s="7">
        <f>COUNTIF(Dépenses!A:A,'Revenus par client'!A60)</f>
        <v>2</v>
      </c>
      <c r="D60" s="9">
        <f t="shared" si="0"/>
        <v>0.000770593105598364</v>
      </c>
    </row>
    <row r="61" spans="1:4">
      <c r="A61" s="7" t="s">
        <v>91</v>
      </c>
      <c r="B61" s="8">
        <f>SUMIF(Dépenses!A:A,'Revenus par client'!A61,Dépenses!D:D)</f>
        <v>1836.2</v>
      </c>
      <c r="C61" s="7">
        <f>COUNTIF(Dépenses!A:A,'Revenus par client'!A61)</f>
        <v>1</v>
      </c>
      <c r="D61" s="9">
        <f t="shared" si="0"/>
        <v>0.00982613236458136</v>
      </c>
    </row>
    <row r="62" spans="1:4">
      <c r="A62" s="7" t="s">
        <v>92</v>
      </c>
      <c r="B62" s="8">
        <f>SUMIF(Dépenses!A:A,'Revenus par client'!A62,Dépenses!D:D)</f>
        <v>164.4</v>
      </c>
      <c r="C62" s="7">
        <f>COUNTIF(Dépenses!A:A,'Revenus par client'!A62)</f>
        <v>1</v>
      </c>
      <c r="D62" s="9">
        <f t="shared" si="0"/>
        <v>0.000879760462224798</v>
      </c>
    </row>
    <row r="63" spans="1:4">
      <c r="A63" s="7" t="s">
        <v>93</v>
      </c>
      <c r="B63" s="8">
        <f>SUMIF(Dépenses!A:A,'Revenus par client'!A63,Dépenses!D:D)</f>
        <v>52</v>
      </c>
      <c r="C63" s="7">
        <f>COUNTIF(Dépenses!A:A,'Revenus par client'!A63)</f>
        <v>1</v>
      </c>
      <c r="D63" s="9">
        <f t="shared" si="0"/>
        <v>0.000278269732577187</v>
      </c>
    </row>
    <row r="64" spans="1:4">
      <c r="A64" s="7" t="s">
        <v>95</v>
      </c>
      <c r="B64" s="8">
        <f>SUMIF(Dépenses!A:A,'Revenus par client'!A64,Dépenses!D:D)</f>
        <v>92</v>
      </c>
      <c r="C64" s="7">
        <f>COUNTIF(Dépenses!A:A,'Revenus par client'!A64)</f>
        <v>1</v>
      </c>
      <c r="D64" s="9">
        <f t="shared" si="0"/>
        <v>0.000492323373021177</v>
      </c>
    </row>
    <row r="65" spans="1:4">
      <c r="A65" s="7" t="s">
        <v>96</v>
      </c>
      <c r="B65" s="8">
        <f>SUMIF(Dépenses!A:A,'Revenus par client'!A65,Dépenses!D:D)</f>
        <v>3388.45</v>
      </c>
      <c r="C65" s="7">
        <f>COUNTIF(Dépenses!A:A,'Revenus par client'!A65)</f>
        <v>5</v>
      </c>
      <c r="D65" s="9">
        <f t="shared" si="0"/>
        <v>0.0181327514490609</v>
      </c>
    </row>
    <row r="66" spans="1:4">
      <c r="A66" s="7" t="s">
        <v>98</v>
      </c>
      <c r="B66" s="8">
        <f>SUMIF(Dépenses!A:A,'Revenus par client'!A66,Dépenses!D:D)</f>
        <v>838.657</v>
      </c>
      <c r="C66" s="7">
        <f>COUNTIF(Dépenses!A:A,'Revenus par client'!A66)</f>
        <v>4</v>
      </c>
      <c r="D66" s="9">
        <f t="shared" ref="D66:D82" si="1">B66/$B$86</f>
        <v>0.00448793959834588</v>
      </c>
    </row>
    <row r="67" spans="1:4">
      <c r="A67" s="7" t="s">
        <v>99</v>
      </c>
      <c r="B67" s="8">
        <f>SUMIF(Dépenses!A:A,'Revenus par client'!A67,Dépenses!D:D)</f>
        <v>414.384</v>
      </c>
      <c r="C67" s="7">
        <f>COUNTIF(Dépenses!A:A,'Revenus par client'!A67)</f>
        <v>10</v>
      </c>
      <c r="D67" s="9">
        <f t="shared" si="1"/>
        <v>0.00221751009354356</v>
      </c>
    </row>
    <row r="68" spans="1:4">
      <c r="A68" s="7" t="s">
        <v>100</v>
      </c>
      <c r="B68" s="8">
        <f>SUMIF(Dépenses!A:A,'Revenus par client'!A68,Dépenses!D:D)</f>
        <v>720</v>
      </c>
      <c r="C68" s="7">
        <f>COUNTIF(Dépenses!A:A,'Revenus par client'!A68)</f>
        <v>1</v>
      </c>
      <c r="D68" s="9">
        <f t="shared" si="1"/>
        <v>0.00385296552799182</v>
      </c>
    </row>
    <row r="69" spans="1:4">
      <c r="A69" s="7" t="s">
        <v>101</v>
      </c>
      <c r="B69" s="8">
        <f>SUMIF(Dépenses!A:A,'Revenus par client'!A69,Dépenses!D:D)</f>
        <v>49.58</v>
      </c>
      <c r="C69" s="7">
        <f>COUNTIF(Dépenses!A:A,'Revenus par client'!A69)</f>
        <v>1</v>
      </c>
      <c r="D69" s="9">
        <f t="shared" si="1"/>
        <v>0.000265319487330325</v>
      </c>
    </row>
    <row r="70" spans="1:4">
      <c r="A70" s="7" t="s">
        <v>102</v>
      </c>
      <c r="B70" s="8">
        <f>SUMIF(Dépenses!A:A,'Revenus par client'!A70,Dépenses!D:D)</f>
        <v>111.87</v>
      </c>
      <c r="C70" s="7">
        <f>COUNTIF(Dépenses!A:A,'Revenus par client'!A70)</f>
        <v>1</v>
      </c>
      <c r="D70" s="9">
        <f t="shared" si="1"/>
        <v>0.000598654518911729</v>
      </c>
    </row>
    <row r="71" spans="1:4">
      <c r="A71" s="7" t="s">
        <v>103</v>
      </c>
      <c r="B71" s="8">
        <f>SUMIF(Dépenses!A:A,'Revenus par client'!A71,Dépenses!D:D)</f>
        <v>29.649</v>
      </c>
      <c r="C71" s="7">
        <f>COUNTIF(Dépenses!A:A,'Revenus par client'!A71)</f>
        <v>1</v>
      </c>
      <c r="D71" s="9">
        <f t="shared" si="1"/>
        <v>0.000158661909638096</v>
      </c>
    </row>
    <row r="72" spans="1:4">
      <c r="A72" s="7" t="s">
        <v>104</v>
      </c>
      <c r="B72" s="8">
        <f>SUMIF(Dépenses!A:A,'Revenus par client'!A72,Dépenses!D:D)</f>
        <v>9.782</v>
      </c>
      <c r="C72" s="7">
        <f>COUNTIF(Dépenses!A:A,'Revenus par client'!A72)</f>
        <v>1</v>
      </c>
      <c r="D72" s="9">
        <f t="shared" si="1"/>
        <v>5.23468177705777e-5</v>
      </c>
    </row>
    <row r="73" spans="1:4">
      <c r="A73" s="7" t="s">
        <v>105</v>
      </c>
      <c r="B73" s="8">
        <f>SUMIF(Dépenses!A:A,'Revenus par client'!A73,Dépenses!D:D)</f>
        <v>46</v>
      </c>
      <c r="C73" s="7">
        <f>COUNTIF(Dépenses!A:A,'Revenus par client'!A73)</f>
        <v>1</v>
      </c>
      <c r="D73" s="9">
        <f t="shared" si="1"/>
        <v>0.000246161686510588</v>
      </c>
    </row>
    <row r="74" spans="1:4">
      <c r="A74" s="7" t="s">
        <v>81</v>
      </c>
      <c r="B74" s="8">
        <f>SUMIF(Dépenses!A:A,'Revenus par client'!A74,Dépenses!D:D)</f>
        <v>4660.51</v>
      </c>
      <c r="C74" s="7">
        <f>COUNTIF(Dépenses!A:A,'Revenus par client'!A74)</f>
        <v>5</v>
      </c>
      <c r="D74" s="9">
        <f t="shared" si="1"/>
        <v>0.0249399782956405</v>
      </c>
    </row>
    <row r="75" spans="1:4">
      <c r="A75" s="7" t="s">
        <v>106</v>
      </c>
      <c r="B75" s="8">
        <f>SUMIF(Dépenses!A:A,'Revenus par client'!A75,Dépenses!D:D)</f>
        <v>1358</v>
      </c>
      <c r="C75" s="7">
        <f>COUNTIF(Dépenses!A:A,'Revenus par client'!A75)</f>
        <v>3</v>
      </c>
      <c r="D75" s="9">
        <f t="shared" si="1"/>
        <v>0.00726712109307346</v>
      </c>
    </row>
    <row r="76" spans="1:4">
      <c r="A76" s="7" t="s">
        <v>107</v>
      </c>
      <c r="B76" s="8">
        <f>SUMIF(Dépenses!A:A,'Revenus par client'!A76,Dépenses!D:D)</f>
        <v>650</v>
      </c>
      <c r="C76" s="7">
        <f>COUNTIF(Dépenses!A:A,'Revenus par client'!A76)</f>
        <v>2</v>
      </c>
      <c r="D76" s="9">
        <f t="shared" si="1"/>
        <v>0.00347837165721484</v>
      </c>
    </row>
    <row r="77" spans="1:4">
      <c r="A77" s="7" t="s">
        <v>109</v>
      </c>
      <c r="B77" s="8">
        <f>SUMIF(Dépenses!A:A,'Revenus par client'!A77,Dépenses!D:D)</f>
        <v>334</v>
      </c>
      <c r="C77" s="7">
        <f>COUNTIF(Dépenses!A:A,'Revenus par client'!A77)</f>
        <v>12</v>
      </c>
      <c r="D77" s="9">
        <f t="shared" si="1"/>
        <v>0.00178734789770732</v>
      </c>
    </row>
    <row r="78" spans="1:4">
      <c r="A78" s="7" t="s">
        <v>110</v>
      </c>
      <c r="B78" s="8">
        <f>SUMIF(Dépenses!A:A,'Revenus par client'!A78,Dépenses!D:D)</f>
        <v>1351</v>
      </c>
      <c r="C78" s="7">
        <f>COUNTIF(Dépenses!A:A,'Revenus par client'!A78)</f>
        <v>1</v>
      </c>
      <c r="D78" s="9">
        <f t="shared" si="1"/>
        <v>0.00722966170599576</v>
      </c>
    </row>
    <row r="79" spans="1:4">
      <c r="A79" s="7" t="s">
        <v>112</v>
      </c>
      <c r="B79" s="8">
        <f>SUMIF(Dépenses!A:A,'Revenus par client'!A79,Dépenses!D:D)</f>
        <v>418.8</v>
      </c>
      <c r="C79" s="7">
        <f>COUNTIF(Dépenses!A:A,'Revenus par client'!A79)</f>
        <v>1</v>
      </c>
      <c r="D79" s="9">
        <f t="shared" si="1"/>
        <v>0.00224114161544857</v>
      </c>
    </row>
    <row r="80" spans="1:4">
      <c r="A80" s="7" t="s">
        <v>113</v>
      </c>
      <c r="B80" s="8">
        <f>SUMIF(Dépenses!A:A,'Revenus par client'!A80,Dépenses!D:D)</f>
        <v>10502.75</v>
      </c>
      <c r="C80" s="7">
        <f>COUNTIF(Dépenses!A:A,'Revenus par client'!A80)</f>
        <v>4</v>
      </c>
      <c r="D80" s="9">
        <f t="shared" si="1"/>
        <v>0.0562037968043279</v>
      </c>
    </row>
    <row r="81" spans="1:4">
      <c r="A81" s="7" t="s">
        <v>114</v>
      </c>
      <c r="B81" s="8">
        <f>SUMIF(Dépenses!A:A,'Revenus par client'!A81,Dépenses!D:D)</f>
        <v>1080</v>
      </c>
      <c r="C81" s="7">
        <f>COUNTIF(Dépenses!A:A,'Revenus par client'!A81)</f>
        <v>1</v>
      </c>
      <c r="D81" s="9">
        <f t="shared" si="1"/>
        <v>0.00577944829198773</v>
      </c>
    </row>
    <row r="82" spans="1:4">
      <c r="A82" s="7" t="s">
        <v>94</v>
      </c>
      <c r="B82" s="8">
        <f>SUMIF(Dépenses!A:A,'Revenus par client'!A82,Dépenses!D:D)</f>
        <v>2048</v>
      </c>
      <c r="C82" s="7">
        <f>COUNTIF(Dépenses!A:A,'Revenus par client'!A82)</f>
        <v>2</v>
      </c>
      <c r="D82" s="9">
        <f t="shared" si="1"/>
        <v>0.0109595463907323</v>
      </c>
    </row>
    <row r="83" spans="1:4">
      <c r="A83" s="7"/>
      <c r="B83" s="8"/>
      <c r="C83" s="7"/>
      <c r="D83" s="9"/>
    </row>
    <row r="84" spans="1:4">
      <c r="A84" s="7"/>
      <c r="B84" s="8"/>
      <c r="C84" s="7"/>
      <c r="D84" s="9"/>
    </row>
    <row r="85" spans="1:4">
      <c r="A85" s="7"/>
      <c r="B85" s="8"/>
      <c r="C85" s="7"/>
      <c r="D85" s="9"/>
    </row>
    <row r="86" spans="1:4">
      <c r="A86" s="10" t="s">
        <v>173</v>
      </c>
      <c r="B86" s="11">
        <f>SUM(B2:B82)</f>
        <v>186869.04795</v>
      </c>
      <c r="C86" s="7"/>
      <c r="D86" s="9"/>
    </row>
    <row r="87" spans="1:4">
      <c r="A87" s="7"/>
      <c r="B87" s="8"/>
      <c r="C87" s="7"/>
      <c r="D87" s="9"/>
    </row>
    <row r="88" spans="1:4">
      <c r="A88" s="7"/>
      <c r="B88" s="8"/>
      <c r="C88" s="7"/>
      <c r="D88" s="9"/>
    </row>
    <row r="89" spans="1:4">
      <c r="A89" s="7"/>
      <c r="B89" s="8"/>
      <c r="C89" s="7"/>
      <c r="D89" s="9"/>
    </row>
    <row r="90" spans="1:4">
      <c r="A90" s="7"/>
      <c r="B90" s="8"/>
      <c r="C90" s="7"/>
      <c r="D90" s="9"/>
    </row>
    <row r="91" spans="1:4">
      <c r="A91" s="7"/>
      <c r="B91" s="8"/>
      <c r="C91" s="7"/>
      <c r="D91" s="9"/>
    </row>
    <row r="92" spans="1:4">
      <c r="A92" s="7"/>
      <c r="B92" s="8"/>
      <c r="C92" s="7"/>
      <c r="D92" s="9"/>
    </row>
    <row r="93" spans="1:4">
      <c r="A93" s="7"/>
      <c r="B93" s="8"/>
      <c r="C93" s="7"/>
      <c r="D93" s="9"/>
    </row>
    <row r="94" spans="1:4">
      <c r="A94" s="7"/>
      <c r="B94" s="8"/>
      <c r="C94" s="7"/>
      <c r="D94" s="9"/>
    </row>
    <row r="95" spans="1:4">
      <c r="A95" s="7"/>
      <c r="B95" s="8"/>
      <c r="C95" s="7"/>
      <c r="D95" s="9"/>
    </row>
    <row r="96" spans="1:4">
      <c r="A96" s="7"/>
      <c r="B96" s="8"/>
      <c r="C96" s="7"/>
      <c r="D96" s="9"/>
    </row>
    <row r="97" spans="1:4">
      <c r="A97" s="7"/>
      <c r="B97" s="8"/>
      <c r="C97" s="7"/>
      <c r="D97" s="9"/>
    </row>
    <row r="98" spans="1:4">
      <c r="A98" s="7"/>
      <c r="B98" s="8"/>
      <c r="C98" s="7"/>
      <c r="D98" s="9"/>
    </row>
    <row r="99" spans="1:4">
      <c r="A99" s="7"/>
      <c r="B99" s="8"/>
      <c r="C99" s="7"/>
      <c r="D99" s="9"/>
    </row>
    <row r="100" spans="1:4">
      <c r="A100" s="7"/>
      <c r="B100" s="8"/>
      <c r="C100" s="7"/>
      <c r="D100" s="9"/>
    </row>
    <row r="101" spans="1:4">
      <c r="A101" s="7"/>
      <c r="B101" s="8"/>
      <c r="C101" s="7"/>
      <c r="D101" s="9"/>
    </row>
    <row r="102" spans="1:4">
      <c r="A102" s="7"/>
      <c r="B102" s="8"/>
      <c r="C102" s="7"/>
      <c r="D102" s="9"/>
    </row>
    <row r="103" spans="1:4">
      <c r="A103" s="7"/>
      <c r="B103" s="8"/>
      <c r="C103" s="7"/>
      <c r="D103" s="9"/>
    </row>
    <row r="104" spans="1:4">
      <c r="A104" s="7"/>
      <c r="B104" s="8"/>
      <c r="C104" s="7"/>
      <c r="D104" s="9"/>
    </row>
    <row r="105" spans="1:4">
      <c r="A105" s="7"/>
      <c r="B105" s="8"/>
      <c r="C105" s="7"/>
      <c r="D105" s="9"/>
    </row>
    <row r="106" spans="1:4">
      <c r="A106" s="7"/>
      <c r="B106" s="8"/>
      <c r="C106" s="7"/>
      <c r="D106" s="9"/>
    </row>
    <row r="107" spans="1:4">
      <c r="A107" s="7"/>
      <c r="B107" s="8"/>
      <c r="C107" s="7"/>
      <c r="D107" s="9"/>
    </row>
    <row r="108" spans="1:4">
      <c r="A108" s="7"/>
      <c r="B108" s="8"/>
      <c r="C108" s="7"/>
      <c r="D108" s="9"/>
    </row>
    <row r="109" spans="1:4">
      <c r="A109" s="7"/>
      <c r="B109" s="8"/>
      <c r="C109" s="7"/>
      <c r="D109" s="9"/>
    </row>
    <row r="110" spans="1:4">
      <c r="A110" s="7"/>
      <c r="B110" s="8"/>
      <c r="C110" s="7"/>
      <c r="D110" s="9"/>
    </row>
  </sheetData>
  <autoFilter xmlns:etc="http://www.wps.cn/officeDocument/2017/etCustomData" ref="A1:D82" etc:filterBottomFollowUsedRange="0">
    <extLst/>
  </autoFilter>
  <dataValidations count="1">
    <dataValidation type="list" allowBlank="1" showInputMessage="1" showErrorMessage="1" sqref="A1:A85 A87:A1048576">
      <formula1>Dépenses!$J$2:$J$87</formula1>
    </dataValidation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3:D86"/>
  <sheetViews>
    <sheetView topLeftCell="A33" workbookViewId="0">
      <selection activeCell="A70" sqref="A70"/>
    </sheetView>
  </sheetViews>
  <sheetFormatPr defaultColWidth="11" defaultRowHeight="15" outlineLevelCol="3"/>
  <cols>
    <col min="1" max="1" width="28.1428571428571" customWidth="1"/>
    <col min="2" max="2" width="20.8571428571429" customWidth="1"/>
    <col min="3" max="3" width="29.1428571428571" customWidth="1"/>
    <col min="4" max="4" width="15.2857142857143" customWidth="1"/>
  </cols>
  <sheetData>
    <row r="3" spans="1:4">
      <c r="A3" t="s">
        <v>174</v>
      </c>
      <c r="B3" t="s">
        <v>175</v>
      </c>
      <c r="C3" t="s">
        <v>176</v>
      </c>
      <c r="D3" t="s">
        <v>177</v>
      </c>
    </row>
    <row r="4" spans="1:4">
      <c r="A4" s="1" t="s">
        <v>178</v>
      </c>
      <c r="B4" s="2">
        <v>1948</v>
      </c>
      <c r="C4" s="2">
        <v>1</v>
      </c>
      <c r="D4" s="3">
        <v>0.00884094651757065</v>
      </c>
    </row>
    <row r="5" spans="1:4">
      <c r="A5" s="1" t="s">
        <v>38</v>
      </c>
      <c r="B5" s="2">
        <v>1761.6</v>
      </c>
      <c r="C5" s="2">
        <v>3</v>
      </c>
      <c r="D5" s="3">
        <v>0.00799497504381543</v>
      </c>
    </row>
    <row r="6" spans="1:4">
      <c r="A6" s="1" t="s">
        <v>86</v>
      </c>
      <c r="B6" s="2">
        <v>150</v>
      </c>
      <c r="C6" s="2">
        <v>2</v>
      </c>
      <c r="D6" s="3">
        <v>0.000680771035747227</v>
      </c>
    </row>
    <row r="7" spans="1:4">
      <c r="A7" s="1" t="s">
        <v>35</v>
      </c>
      <c r="B7" s="2">
        <v>1212.9</v>
      </c>
      <c r="C7" s="2">
        <v>2</v>
      </c>
      <c r="D7" s="3">
        <v>0.00550471459505207</v>
      </c>
    </row>
    <row r="8" spans="1:4">
      <c r="A8" s="1" t="s">
        <v>109</v>
      </c>
      <c r="B8" s="2">
        <v>334</v>
      </c>
      <c r="C8" s="2">
        <v>12</v>
      </c>
      <c r="D8" s="3">
        <v>0.00151585017293049</v>
      </c>
    </row>
    <row r="9" spans="1:4">
      <c r="A9" s="1" t="s">
        <v>22</v>
      </c>
      <c r="B9" s="2">
        <v>950</v>
      </c>
      <c r="C9" s="2">
        <v>1</v>
      </c>
      <c r="D9" s="3">
        <v>0.00431154989306577</v>
      </c>
    </row>
    <row r="10" spans="1:4">
      <c r="A10" s="1" t="s">
        <v>107</v>
      </c>
      <c r="B10" s="2">
        <v>650</v>
      </c>
      <c r="C10" s="2">
        <v>2</v>
      </c>
      <c r="D10" s="3">
        <v>0.00295000782157132</v>
      </c>
    </row>
    <row r="11" spans="1:4">
      <c r="A11" s="1" t="s">
        <v>103</v>
      </c>
      <c r="B11" s="2">
        <v>29.649</v>
      </c>
      <c r="C11" s="2">
        <v>1</v>
      </c>
      <c r="D11" s="3">
        <v>0.000134561202925797</v>
      </c>
    </row>
    <row r="12" spans="1:4">
      <c r="A12" s="1" t="s">
        <v>28</v>
      </c>
      <c r="B12" s="2">
        <v>294.35</v>
      </c>
      <c r="C12" s="2">
        <v>2</v>
      </c>
      <c r="D12" s="3">
        <v>0.00133589969581464</v>
      </c>
    </row>
    <row r="13" spans="1:4">
      <c r="A13" s="1" t="s">
        <v>37</v>
      </c>
      <c r="B13" s="2">
        <v>600</v>
      </c>
      <c r="C13" s="2">
        <v>1</v>
      </c>
      <c r="D13" s="3">
        <v>0.00272308414298891</v>
      </c>
    </row>
    <row r="14" spans="1:4">
      <c r="A14" s="1" t="s">
        <v>78</v>
      </c>
      <c r="B14" s="2">
        <v>2350</v>
      </c>
      <c r="C14" s="2">
        <v>1</v>
      </c>
      <c r="D14" s="3">
        <v>0.0106654128933732</v>
      </c>
    </row>
    <row r="15" spans="1:4">
      <c r="A15" s="1" t="s">
        <v>30</v>
      </c>
      <c r="B15" s="2">
        <v>1500.476</v>
      </c>
      <c r="C15" s="2">
        <v>1</v>
      </c>
      <c r="D15" s="3">
        <v>0.00680987067089237</v>
      </c>
    </row>
    <row r="16" spans="1:4">
      <c r="A16" s="1" t="s">
        <v>66</v>
      </c>
      <c r="B16" s="2">
        <v>380</v>
      </c>
      <c r="C16" s="2">
        <v>1</v>
      </c>
      <c r="D16" s="3">
        <v>0.00172461995722631</v>
      </c>
    </row>
    <row r="17" spans="1:4">
      <c r="A17" s="1" t="s">
        <v>56</v>
      </c>
      <c r="B17" s="2">
        <v>200</v>
      </c>
      <c r="C17" s="2">
        <v>1</v>
      </c>
      <c r="D17" s="3">
        <v>0.000907694714329635</v>
      </c>
    </row>
    <row r="18" spans="1:4">
      <c r="A18" s="1" t="s">
        <v>48</v>
      </c>
      <c r="B18" s="2">
        <v>640</v>
      </c>
      <c r="C18" s="2">
        <v>2</v>
      </c>
      <c r="D18" s="3">
        <v>0.00290462308585483</v>
      </c>
    </row>
    <row r="19" spans="1:4">
      <c r="A19" s="1" t="s">
        <v>88</v>
      </c>
      <c r="B19" s="2">
        <v>205.607</v>
      </c>
      <c r="C19" s="2">
        <v>1</v>
      </c>
      <c r="D19" s="3">
        <v>0.000933141935645867</v>
      </c>
    </row>
    <row r="20" spans="1:4">
      <c r="A20" s="1" t="s">
        <v>101</v>
      </c>
      <c r="B20" s="2">
        <v>49.58</v>
      </c>
      <c r="C20" s="2">
        <v>1</v>
      </c>
      <c r="D20" s="3">
        <v>0.000225017519682317</v>
      </c>
    </row>
    <row r="21" spans="1:4">
      <c r="A21" s="1" t="s">
        <v>74</v>
      </c>
      <c r="B21" s="2">
        <v>75</v>
      </c>
      <c r="C21" s="2">
        <v>1</v>
      </c>
      <c r="D21" s="3">
        <v>0.000340385517873613</v>
      </c>
    </row>
    <row r="22" spans="1:4">
      <c r="A22" s="1" t="s">
        <v>54</v>
      </c>
      <c r="B22" s="2">
        <v>4077</v>
      </c>
      <c r="C22" s="2">
        <v>4</v>
      </c>
      <c r="D22" s="3">
        <v>0.0185033567516096</v>
      </c>
    </row>
    <row r="23" spans="1:4">
      <c r="A23" s="1" t="s">
        <v>102</v>
      </c>
      <c r="B23" s="2">
        <v>111.87</v>
      </c>
      <c r="C23" s="2">
        <v>1</v>
      </c>
      <c r="D23" s="3">
        <v>0.000507719038460282</v>
      </c>
    </row>
    <row r="24" spans="1:4">
      <c r="A24" s="1" t="s">
        <v>87</v>
      </c>
      <c r="B24" s="2">
        <v>2900</v>
      </c>
      <c r="C24" s="2">
        <v>1</v>
      </c>
      <c r="D24" s="3">
        <v>0.0131615733577797</v>
      </c>
    </row>
    <row r="25" spans="1:4">
      <c r="A25" s="1" t="s">
        <v>89</v>
      </c>
      <c r="B25" s="2">
        <v>1967.265</v>
      </c>
      <c r="C25" s="2">
        <v>2</v>
      </c>
      <c r="D25" s="3">
        <v>0.00892838021092845</v>
      </c>
    </row>
    <row r="26" spans="1:4">
      <c r="A26" s="1" t="s">
        <v>19</v>
      </c>
      <c r="B26" s="2">
        <v>22453.03</v>
      </c>
      <c r="C26" s="2">
        <v>2</v>
      </c>
      <c r="D26" s="3">
        <v>0.101902483258424</v>
      </c>
    </row>
    <row r="27" spans="1:4">
      <c r="A27" s="1" t="s">
        <v>33</v>
      </c>
      <c r="B27" s="2">
        <v>678.87</v>
      </c>
      <c r="C27" s="2">
        <v>2</v>
      </c>
      <c r="D27" s="3">
        <v>0.0030810335535848</v>
      </c>
    </row>
    <row r="28" spans="1:4">
      <c r="A28" s="1" t="s">
        <v>59</v>
      </c>
      <c r="B28" s="2">
        <v>20</v>
      </c>
      <c r="C28" s="2">
        <v>1</v>
      </c>
      <c r="D28" s="3">
        <v>9.07694714329635e-5</v>
      </c>
    </row>
    <row r="29" spans="1:4">
      <c r="A29" s="1" t="s">
        <v>90</v>
      </c>
      <c r="B29" s="2">
        <v>144</v>
      </c>
      <c r="C29" s="2">
        <v>2</v>
      </c>
      <c r="D29" s="3">
        <v>0.000653540194317337</v>
      </c>
    </row>
    <row r="30" spans="1:4">
      <c r="A30" s="1" t="s">
        <v>26</v>
      </c>
      <c r="B30" s="2">
        <v>465.2</v>
      </c>
      <c r="C30" s="2">
        <v>2</v>
      </c>
      <c r="D30" s="3">
        <v>0.00211129790553073</v>
      </c>
    </row>
    <row r="31" spans="1:4">
      <c r="A31" s="1" t="s">
        <v>77</v>
      </c>
      <c r="B31" s="2">
        <v>1000</v>
      </c>
      <c r="C31" s="2">
        <v>1</v>
      </c>
      <c r="D31" s="3">
        <v>0.00453847357164818</v>
      </c>
    </row>
    <row r="32" spans="1:4">
      <c r="A32" s="1" t="s">
        <v>72</v>
      </c>
      <c r="B32" s="2">
        <v>70</v>
      </c>
      <c r="C32" s="2">
        <v>1</v>
      </c>
      <c r="D32" s="3">
        <v>0.000317693150015372</v>
      </c>
    </row>
    <row r="33" spans="1:4">
      <c r="A33" s="1" t="s">
        <v>60</v>
      </c>
      <c r="B33" s="2">
        <v>500</v>
      </c>
      <c r="C33" s="2">
        <v>1</v>
      </c>
      <c r="D33" s="3">
        <v>0.00226923678582409</v>
      </c>
    </row>
    <row r="34" spans="1:4">
      <c r="A34" s="1" t="s">
        <v>20</v>
      </c>
      <c r="B34" s="2">
        <v>2130</v>
      </c>
      <c r="C34" s="2">
        <v>2</v>
      </c>
      <c r="D34" s="3">
        <v>0.00966694870761062</v>
      </c>
    </row>
    <row r="35" spans="1:4">
      <c r="A35" s="1" t="s">
        <v>172</v>
      </c>
      <c r="B35" s="2">
        <v>36249.8009</v>
      </c>
      <c r="C35" s="2">
        <v>6</v>
      </c>
      <c r="D35" s="3">
        <v>0.164518763362158</v>
      </c>
    </row>
    <row r="36" spans="1:4">
      <c r="A36" s="1" t="s">
        <v>96</v>
      </c>
      <c r="B36" s="2">
        <v>608</v>
      </c>
      <c r="C36" s="2">
        <v>5</v>
      </c>
      <c r="D36" s="3">
        <v>0.00275939193156209</v>
      </c>
    </row>
    <row r="37" spans="1:4">
      <c r="A37" s="1" t="s">
        <v>42</v>
      </c>
      <c r="B37" s="2">
        <v>16595</v>
      </c>
      <c r="C37" s="2">
        <v>2</v>
      </c>
      <c r="D37" s="3">
        <v>0.0753159689215015</v>
      </c>
    </row>
    <row r="38" spans="1:4">
      <c r="A38" s="1" t="s">
        <v>76</v>
      </c>
      <c r="B38" s="2">
        <v>3450</v>
      </c>
      <c r="C38" s="2">
        <v>9</v>
      </c>
      <c r="D38" s="3">
        <v>0.0156577338221862</v>
      </c>
    </row>
    <row r="39" spans="1:4">
      <c r="A39" s="1" t="s">
        <v>41</v>
      </c>
      <c r="B39" s="2">
        <v>1542.5</v>
      </c>
      <c r="C39" s="2">
        <v>2</v>
      </c>
      <c r="D39" s="3">
        <v>0.00700059548426731</v>
      </c>
    </row>
    <row r="40" spans="1:4">
      <c r="A40" s="1" t="s">
        <v>104</v>
      </c>
      <c r="B40" s="2">
        <v>9.782</v>
      </c>
      <c r="C40" s="2">
        <v>1</v>
      </c>
      <c r="D40" s="3">
        <v>4.43953484778625e-5</v>
      </c>
    </row>
    <row r="41" spans="1:4">
      <c r="A41" s="1" t="s">
        <v>95</v>
      </c>
      <c r="B41" s="2">
        <v>92</v>
      </c>
      <c r="C41" s="2">
        <v>1</v>
      </c>
      <c r="D41" s="3">
        <v>0.000417539568591632</v>
      </c>
    </row>
    <row r="42" spans="1:4">
      <c r="A42" s="1" t="s">
        <v>50</v>
      </c>
      <c r="B42" s="2">
        <v>3000</v>
      </c>
      <c r="C42" s="2">
        <v>2</v>
      </c>
      <c r="D42" s="3">
        <v>0.0136154207149445</v>
      </c>
    </row>
    <row r="43" spans="1:4">
      <c r="A43" s="1" t="s">
        <v>40</v>
      </c>
      <c r="B43" s="2">
        <v>1250</v>
      </c>
      <c r="C43" s="2">
        <v>1</v>
      </c>
      <c r="D43" s="3">
        <v>0.00567309196456022</v>
      </c>
    </row>
    <row r="44" spans="1:4">
      <c r="A44" s="1" t="s">
        <v>79</v>
      </c>
      <c r="B44" s="2">
        <v>35.294</v>
      </c>
      <c r="C44" s="2">
        <v>1</v>
      </c>
      <c r="D44" s="3">
        <v>0.000160180886237751</v>
      </c>
    </row>
    <row r="45" spans="1:4">
      <c r="A45" s="1" t="s">
        <v>75</v>
      </c>
      <c r="B45" s="2">
        <v>100</v>
      </c>
      <c r="C45" s="2">
        <v>1</v>
      </c>
      <c r="D45" s="3">
        <v>0.000453847357164818</v>
      </c>
    </row>
    <row r="46" spans="1:4">
      <c r="A46" s="1" t="s">
        <v>9</v>
      </c>
      <c r="B46" s="2">
        <v>9345.79495</v>
      </c>
      <c r="C46" s="2">
        <v>2</v>
      </c>
      <c r="D46" s="3">
        <v>0.042415643386618</v>
      </c>
    </row>
    <row r="47" spans="1:4">
      <c r="A47" s="1" t="s">
        <v>46</v>
      </c>
      <c r="B47" s="2">
        <v>230</v>
      </c>
      <c r="C47" s="2">
        <v>1</v>
      </c>
      <c r="D47" s="3">
        <v>0.00104384892147908</v>
      </c>
    </row>
    <row r="48" spans="1:4">
      <c r="A48" s="1" t="s">
        <v>91</v>
      </c>
      <c r="B48" s="2">
        <v>1836.2</v>
      </c>
      <c r="C48" s="2">
        <v>1</v>
      </c>
      <c r="D48" s="3">
        <v>0.00833354517226038</v>
      </c>
    </row>
    <row r="49" spans="1:4">
      <c r="A49" s="1" t="s">
        <v>80</v>
      </c>
      <c r="B49" s="2">
        <v>1250</v>
      </c>
      <c r="C49" s="2">
        <v>1</v>
      </c>
      <c r="D49" s="3">
        <v>0.00567309196456022</v>
      </c>
    </row>
    <row r="50" spans="1:4">
      <c r="A50" s="1" t="s">
        <v>73</v>
      </c>
      <c r="B50" s="2">
        <v>75</v>
      </c>
      <c r="C50" s="2">
        <v>1</v>
      </c>
      <c r="D50" s="3">
        <v>0.000340385517873613</v>
      </c>
    </row>
    <row r="51" spans="1:4">
      <c r="A51" s="1" t="s">
        <v>70</v>
      </c>
      <c r="B51" s="2">
        <v>140</v>
      </c>
      <c r="C51" s="2">
        <v>1</v>
      </c>
      <c r="D51" s="3">
        <v>0.000635386300030745</v>
      </c>
    </row>
    <row r="52" spans="1:4">
      <c r="A52" s="1" t="s">
        <v>24</v>
      </c>
      <c r="B52" s="2">
        <v>1797</v>
      </c>
      <c r="C52" s="2">
        <v>1</v>
      </c>
      <c r="D52" s="3">
        <v>0.00815563700825177</v>
      </c>
    </row>
    <row r="53" spans="1:4">
      <c r="A53" s="1" t="s">
        <v>15</v>
      </c>
      <c r="B53" s="2">
        <v>4316.2</v>
      </c>
      <c r="C53" s="2">
        <v>2</v>
      </c>
      <c r="D53" s="3">
        <v>0.0195889596299479</v>
      </c>
    </row>
    <row r="54" spans="1:4">
      <c r="A54" s="1" t="s">
        <v>106</v>
      </c>
      <c r="B54" s="2">
        <v>1358</v>
      </c>
      <c r="C54" s="2">
        <v>3</v>
      </c>
      <c r="D54" s="3">
        <v>0.00616324711029822</v>
      </c>
    </row>
    <row r="55" spans="1:4">
      <c r="A55" s="1" t="s">
        <v>58</v>
      </c>
      <c r="B55" s="2">
        <v>250</v>
      </c>
      <c r="C55" s="2">
        <v>1</v>
      </c>
      <c r="D55" s="3">
        <v>0.00113461839291204</v>
      </c>
    </row>
    <row r="56" spans="1:4">
      <c r="A56" s="1" t="s">
        <v>32</v>
      </c>
      <c r="B56" s="2">
        <v>743.7</v>
      </c>
      <c r="C56" s="2">
        <v>12</v>
      </c>
      <c r="D56" s="3">
        <v>0.00337526279523475</v>
      </c>
    </row>
    <row r="57" spans="1:4">
      <c r="A57" s="1" t="s">
        <v>17</v>
      </c>
      <c r="B57" s="2">
        <v>40138</v>
      </c>
      <c r="C57" s="2">
        <v>13</v>
      </c>
      <c r="D57" s="3">
        <v>0.182165252218815</v>
      </c>
    </row>
    <row r="58" spans="1:4">
      <c r="A58" s="1" t="s">
        <v>57</v>
      </c>
      <c r="B58" s="2">
        <v>200</v>
      </c>
      <c r="C58" s="2">
        <v>1</v>
      </c>
      <c r="D58" s="3">
        <v>0.000907694714329635</v>
      </c>
    </row>
    <row r="59" spans="1:4">
      <c r="A59" s="1" t="s">
        <v>112</v>
      </c>
      <c r="B59" s="2">
        <v>418.8</v>
      </c>
      <c r="C59" s="2">
        <v>1</v>
      </c>
      <c r="D59" s="3">
        <v>0.00190071273180626</v>
      </c>
    </row>
    <row r="60" spans="1:4">
      <c r="A60" s="1" t="s">
        <v>92</v>
      </c>
      <c r="B60" s="2">
        <v>164.4</v>
      </c>
      <c r="C60" s="2">
        <v>1</v>
      </c>
      <c r="D60" s="3">
        <v>0.00074612505517896</v>
      </c>
    </row>
    <row r="61" spans="1:4">
      <c r="A61" s="1" t="s">
        <v>49</v>
      </c>
      <c r="B61" s="2">
        <v>250</v>
      </c>
      <c r="C61" s="2">
        <v>1</v>
      </c>
      <c r="D61" s="3">
        <v>0.00113461839291204</v>
      </c>
    </row>
    <row r="62" spans="1:4">
      <c r="A62" s="1" t="s">
        <v>114</v>
      </c>
      <c r="B62" s="2">
        <v>1080</v>
      </c>
      <c r="C62" s="2">
        <v>1</v>
      </c>
      <c r="D62" s="3">
        <v>0.00490155145738003</v>
      </c>
    </row>
    <row r="63" spans="1:4">
      <c r="A63" s="1" t="s">
        <v>113</v>
      </c>
      <c r="B63" s="2">
        <v>10502.75</v>
      </c>
      <c r="C63" s="2">
        <v>4</v>
      </c>
      <c r="D63" s="3">
        <v>0.0476664533046279</v>
      </c>
    </row>
    <row r="64" spans="1:4">
      <c r="A64" s="1" t="s">
        <v>105</v>
      </c>
      <c r="B64" s="2">
        <v>46</v>
      </c>
      <c r="C64" s="2">
        <v>1</v>
      </c>
      <c r="D64" s="3">
        <v>0.000208769784295816</v>
      </c>
    </row>
    <row r="65" spans="1:4">
      <c r="A65" s="1" t="s">
        <v>82</v>
      </c>
      <c r="B65" s="2">
        <v>386.56</v>
      </c>
      <c r="C65" s="2">
        <v>1</v>
      </c>
      <c r="D65" s="3">
        <v>0.00175439234385632</v>
      </c>
    </row>
    <row r="66" spans="1:4">
      <c r="A66" s="1" t="s">
        <v>45</v>
      </c>
      <c r="B66" s="2">
        <v>440</v>
      </c>
      <c r="C66" s="2">
        <v>1</v>
      </c>
      <c r="D66" s="3">
        <v>0.0019969283715252</v>
      </c>
    </row>
    <row r="67" spans="1:4">
      <c r="A67" s="1" t="s">
        <v>39</v>
      </c>
      <c r="B67" s="2">
        <v>9254.4</v>
      </c>
      <c r="C67" s="2">
        <v>3</v>
      </c>
      <c r="D67" s="3">
        <v>0.0420008498214609</v>
      </c>
    </row>
    <row r="68" spans="1:4">
      <c r="A68" s="1" t="s">
        <v>110</v>
      </c>
      <c r="B68" s="2">
        <v>1351</v>
      </c>
      <c r="C68" s="2">
        <v>1</v>
      </c>
      <c r="D68" s="3">
        <v>0.00613147779529669</v>
      </c>
    </row>
    <row r="69" spans="1:4">
      <c r="A69" s="1" t="s">
        <v>179</v>
      </c>
      <c r="B69" s="2">
        <v>305.883</v>
      </c>
      <c r="C69" s="2">
        <v>1</v>
      </c>
      <c r="D69" s="3">
        <v>0.00138824191151646</v>
      </c>
    </row>
    <row r="70" spans="1:4">
      <c r="A70" s="1" t="s">
        <v>4</v>
      </c>
      <c r="B70" s="2">
        <v>5024.519</v>
      </c>
      <c r="C70" s="2">
        <v>8</v>
      </c>
      <c r="D70" s="3">
        <v>0.0228036466917441</v>
      </c>
    </row>
    <row r="71" spans="1:4">
      <c r="A71" s="1" t="s">
        <v>7</v>
      </c>
      <c r="B71" s="2">
        <v>4721.75</v>
      </c>
      <c r="C71" s="2">
        <v>2</v>
      </c>
      <c r="D71" s="3">
        <v>0.0214295375869298</v>
      </c>
    </row>
    <row r="72" spans="1:4">
      <c r="A72" s="1" t="s">
        <v>84</v>
      </c>
      <c r="B72" s="2">
        <v>37</v>
      </c>
      <c r="C72" s="2">
        <v>1</v>
      </c>
      <c r="D72" s="3">
        <v>0.000167923522150983</v>
      </c>
    </row>
    <row r="73" spans="1:4">
      <c r="A73" s="1" t="s">
        <v>47</v>
      </c>
      <c r="B73" s="2">
        <v>420</v>
      </c>
      <c r="C73" s="2">
        <v>1</v>
      </c>
      <c r="D73" s="3">
        <v>0.00190615890009223</v>
      </c>
    </row>
    <row r="74" spans="1:4">
      <c r="A74" s="1" t="s">
        <v>94</v>
      </c>
      <c r="B74" s="2">
        <v>1548</v>
      </c>
      <c r="C74" s="2">
        <v>1</v>
      </c>
      <c r="D74" s="3">
        <v>0.00702555708891138</v>
      </c>
    </row>
    <row r="75" spans="1:4">
      <c r="A75" s="1" t="s">
        <v>81</v>
      </c>
      <c r="B75" s="2">
        <v>4660.51</v>
      </c>
      <c r="C75" s="2">
        <v>5</v>
      </c>
      <c r="D75" s="3">
        <v>0.021151601465402</v>
      </c>
    </row>
    <row r="76" spans="1:4">
      <c r="A76" s="1" t="s">
        <v>13</v>
      </c>
      <c r="B76" s="2">
        <v>762</v>
      </c>
      <c r="C76" s="2">
        <v>1</v>
      </c>
      <c r="D76" s="3">
        <v>0.00345831686159591</v>
      </c>
    </row>
    <row r="77" spans="1:4">
      <c r="A77" s="1" t="s">
        <v>93</v>
      </c>
      <c r="B77" s="2">
        <v>52</v>
      </c>
      <c r="C77" s="2">
        <v>1</v>
      </c>
      <c r="D77" s="3">
        <v>0.000236000625725705</v>
      </c>
    </row>
    <row r="78" spans="1:4">
      <c r="A78" s="1" t="s">
        <v>68</v>
      </c>
      <c r="B78" s="2">
        <v>120</v>
      </c>
      <c r="C78" s="2">
        <v>1</v>
      </c>
      <c r="D78" s="3">
        <v>0.000544616828597781</v>
      </c>
    </row>
    <row r="79" spans="1:4">
      <c r="A79" s="1" t="s">
        <v>99</v>
      </c>
      <c r="B79" s="2">
        <v>414.384</v>
      </c>
      <c r="C79" s="2">
        <v>10</v>
      </c>
      <c r="D79" s="3">
        <v>0.00188067083251386</v>
      </c>
    </row>
    <row r="80" spans="1:4">
      <c r="A80" s="1" t="s">
        <v>98</v>
      </c>
      <c r="B80" s="2">
        <v>532.774</v>
      </c>
      <c r="C80" s="2">
        <v>3</v>
      </c>
      <c r="D80" s="3">
        <v>0.00241798071866129</v>
      </c>
    </row>
    <row r="81" spans="1:4">
      <c r="A81" s="1" t="s">
        <v>64</v>
      </c>
      <c r="B81" s="2">
        <v>350</v>
      </c>
      <c r="C81" s="2">
        <v>1</v>
      </c>
      <c r="D81" s="3">
        <v>0.00158846575007686</v>
      </c>
    </row>
    <row r="82" spans="1:4">
      <c r="A82" s="1" t="s">
        <v>44</v>
      </c>
      <c r="B82" s="2">
        <v>1800</v>
      </c>
      <c r="C82" s="2">
        <v>1</v>
      </c>
      <c r="D82" s="3">
        <v>0.00816925242896672</v>
      </c>
    </row>
    <row r="83" spans="1:4">
      <c r="A83" s="1" t="s">
        <v>52</v>
      </c>
      <c r="B83" s="2">
        <v>215</v>
      </c>
      <c r="C83" s="2">
        <v>2</v>
      </c>
      <c r="D83" s="3">
        <v>0.000975771817904358</v>
      </c>
    </row>
    <row r="84" spans="1:4">
      <c r="A84" s="1" t="s">
        <v>62</v>
      </c>
      <c r="B84" s="2">
        <v>300</v>
      </c>
      <c r="C84" s="2">
        <v>1</v>
      </c>
      <c r="D84" s="3">
        <v>0.00136154207149445</v>
      </c>
    </row>
    <row r="85" spans="1:4">
      <c r="A85" s="1" t="s">
        <v>100</v>
      </c>
      <c r="B85" s="2">
        <v>720</v>
      </c>
      <c r="C85" s="2">
        <v>1</v>
      </c>
      <c r="D85" s="3">
        <v>0.00326770097158669</v>
      </c>
    </row>
    <row r="86" spans="1:4">
      <c r="A86" s="1" t="s">
        <v>180</v>
      </c>
      <c r="B86" s="2">
        <v>220338.39885</v>
      </c>
      <c r="C86" s="2">
        <v>185</v>
      </c>
      <c r="D86" s="3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M33" sqref="M32:M33"/>
    </sheetView>
  </sheetViews>
  <sheetFormatPr defaultColWidth="9.14285714285714" defaultRowHeight="15" outlineLevelRow="1" outlineLevelCol="3"/>
  <cols>
    <col min="4" max="4" width="12.8571428571429"/>
  </cols>
  <sheetData>
    <row r="1" spans="1:4">
      <c r="A1" t="s">
        <v>168</v>
      </c>
      <c r="B1" t="s">
        <v>169</v>
      </c>
      <c r="C1" t="s">
        <v>170</v>
      </c>
      <c r="D1" t="s">
        <v>171</v>
      </c>
    </row>
    <row r="2" spans="1:4">
      <c r="A2" t="s">
        <v>38</v>
      </c>
      <c r="B2">
        <v>1761.6</v>
      </c>
      <c r="C2">
        <v>3</v>
      </c>
      <c r="D2">
        <v>0.00799497504381543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" sqref="D$1:D$1048576"/>
    </sheetView>
  </sheetViews>
  <sheetFormatPr defaultColWidth="9.14285714285714" defaultRowHeight="15" outlineLevelRow="1" outlineLevelCol="3"/>
  <cols>
    <col min="1" max="1" width="28.7142857142857" customWidth="1"/>
    <col min="2" max="2" width="21.8571428571429" customWidth="1"/>
    <col min="4" max="4" width="12.8571428571429"/>
  </cols>
  <sheetData>
    <row r="1" spans="1:4">
      <c r="A1" t="s">
        <v>168</v>
      </c>
      <c r="B1" t="s">
        <v>169</v>
      </c>
      <c r="C1" t="s">
        <v>170</v>
      </c>
      <c r="D1" t="s">
        <v>171</v>
      </c>
    </row>
    <row r="2" spans="1:4">
      <c r="A2" t="s">
        <v>30</v>
      </c>
      <c r="B2">
        <v>1500.476</v>
      </c>
      <c r="C2">
        <v>1</v>
      </c>
      <c r="D2">
        <v>0.00680987067089237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2"/>
    </sheetView>
  </sheetViews>
  <sheetFormatPr defaultColWidth="9.14285714285714" defaultRowHeight="15" outlineLevelRow="1" outlineLevelCol="3"/>
  <cols>
    <col min="4" max="4" width="12.8571428571429"/>
  </cols>
  <sheetData>
    <row r="1" spans="1:4">
      <c r="A1" t="s">
        <v>168</v>
      </c>
      <c r="B1" t="s">
        <v>169</v>
      </c>
      <c r="C1" t="s">
        <v>170</v>
      </c>
      <c r="D1" t="s">
        <v>171</v>
      </c>
    </row>
    <row r="2" spans="1:4">
      <c r="A2" t="s">
        <v>86</v>
      </c>
      <c r="B2">
        <v>150</v>
      </c>
      <c r="C2">
        <v>2</v>
      </c>
      <c r="D2">
        <v>0.000680771035747227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F12" sqref="F12"/>
    </sheetView>
  </sheetViews>
  <sheetFormatPr defaultColWidth="9.14285714285714" defaultRowHeight="15" outlineLevelRow="1" outlineLevelCol="3"/>
  <cols>
    <col min="1" max="1" width="15" customWidth="1"/>
    <col min="2" max="2" width="15.7142857142857" customWidth="1"/>
    <col min="3" max="3" width="24.5714285714286" customWidth="1"/>
    <col min="4" max="4" width="12.8571428571429" customWidth="1"/>
  </cols>
  <sheetData>
    <row r="1" spans="1:4">
      <c r="A1" t="s">
        <v>168</v>
      </c>
      <c r="B1" t="s">
        <v>169</v>
      </c>
      <c r="C1" t="s">
        <v>170</v>
      </c>
      <c r="D1" t="s">
        <v>171</v>
      </c>
    </row>
    <row r="2" spans="1:4">
      <c r="A2" t="s">
        <v>35</v>
      </c>
      <c r="B2">
        <v>1212.9</v>
      </c>
      <c r="C2">
        <v>2</v>
      </c>
      <c r="D2">
        <v>0.00550471459505207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Dépenses</vt:lpstr>
      <vt:lpstr>Revenus par client</vt:lpstr>
      <vt:lpstr>Bilan</vt:lpstr>
      <vt:lpstr>Feuille4</vt:lpstr>
      <vt:lpstr>Feuille5</vt:lpstr>
      <vt:lpstr>Feuille6</vt:lpstr>
      <vt:lpstr>Feuille7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Alaeddine Abidi</dc:creator>
  <cp:lastModifiedBy>Raouaa Ben Mehrez</cp:lastModifiedBy>
  <dcterms:created xsi:type="dcterms:W3CDTF">2026-01-23T10:16:00Z</dcterms:created>
  <dcterms:modified xsi:type="dcterms:W3CDTF">2026-02-28T14:03:59Z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59EF0C216F4F42A596EDB5258E86C8D3_12</vt:lpwstr>
  </property>
  <property fmtid="{D5CDD505-2E9C-101B-9397-08002B2CF9AE}" pid="3" name="KSOProductBuildVer">
    <vt:lpwstr>1036-12.2.0.23196</vt:lpwstr>
  </property>
</Properties>
</file>