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sprit\4BI 8\2éme Semestre\Projet BI\Modify Data E_Commerce\"/>
    </mc:Choice>
  </mc:AlternateContent>
  <bookViews>
    <workbookView xWindow="0" yWindow="0" windowWidth="28800" windowHeight="12180" activeTab="1"/>
  </bookViews>
  <sheets>
    <sheet name="Dashboard" sheetId="1" r:id="rId1"/>
    <sheet name="Sheet1" sheetId="2" r:id="rId2"/>
  </sheets>
  <definedNames>
    <definedName name="_xlnm._FilterDatabase" localSheetId="1" hidden="1">Sheet1!$A$1:$J$517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7" i="2" l="1"/>
  <c r="F517" i="2"/>
  <c r="G516" i="2"/>
  <c r="F516" i="2"/>
  <c r="G515" i="2"/>
  <c r="F515" i="2"/>
  <c r="G514" i="2"/>
  <c r="F514" i="2"/>
  <c r="G513" i="2"/>
  <c r="F513" i="2"/>
  <c r="G512" i="2"/>
  <c r="F512" i="2"/>
  <c r="G511" i="2"/>
  <c r="F511" i="2"/>
  <c r="G510" i="2"/>
  <c r="F510" i="2"/>
  <c r="G509" i="2"/>
  <c r="F509" i="2"/>
  <c r="G508" i="2"/>
  <c r="F508" i="2"/>
  <c r="G507" i="2"/>
  <c r="F507" i="2"/>
  <c r="G506" i="2"/>
  <c r="F506" i="2"/>
  <c r="G505" i="2"/>
  <c r="F505" i="2"/>
  <c r="G504" i="2"/>
  <c r="F504" i="2"/>
  <c r="G503" i="2"/>
  <c r="F503" i="2"/>
  <c r="G502" i="2"/>
  <c r="F502" i="2"/>
  <c r="G501" i="2"/>
  <c r="F501" i="2"/>
  <c r="G500" i="2"/>
  <c r="F500" i="2"/>
  <c r="G499" i="2"/>
  <c r="F499" i="2"/>
  <c r="G498" i="2"/>
  <c r="F498" i="2"/>
  <c r="G497" i="2"/>
  <c r="F497" i="2"/>
  <c r="E497" i="2"/>
  <c r="G496" i="2"/>
  <c r="F496" i="2"/>
  <c r="G495" i="2"/>
  <c r="F495" i="2"/>
  <c r="G494" i="2"/>
  <c r="F494" i="2"/>
  <c r="E494" i="2"/>
  <c r="G493" i="2"/>
  <c r="F493" i="2"/>
  <c r="G492" i="2"/>
  <c r="F492" i="2"/>
  <c r="G491" i="2"/>
  <c r="F491" i="2"/>
  <c r="G490" i="2"/>
  <c r="F490" i="2"/>
  <c r="G489" i="2"/>
  <c r="F489" i="2"/>
  <c r="G488" i="2"/>
  <c r="F488" i="2"/>
  <c r="E488" i="2"/>
  <c r="G487" i="2"/>
  <c r="F487" i="2"/>
  <c r="G486" i="2"/>
  <c r="F486" i="2"/>
  <c r="E486" i="2"/>
  <c r="G485" i="2"/>
  <c r="F485" i="2"/>
  <c r="E485" i="2"/>
  <c r="G484" i="2"/>
  <c r="F484" i="2"/>
  <c r="G483" i="2"/>
  <c r="F483" i="2"/>
  <c r="G482" i="2"/>
  <c r="F482" i="2"/>
  <c r="E482" i="2"/>
  <c r="G481" i="2"/>
  <c r="F481" i="2"/>
  <c r="G480" i="2"/>
  <c r="F480" i="2"/>
  <c r="G479" i="2"/>
  <c r="F479" i="2"/>
  <c r="E479" i="2"/>
  <c r="G478" i="2"/>
  <c r="F478" i="2"/>
  <c r="E478" i="2"/>
  <c r="G477" i="2"/>
  <c r="F477" i="2"/>
  <c r="G476" i="2"/>
  <c r="F476" i="2"/>
  <c r="G475" i="2"/>
  <c r="F475" i="2"/>
  <c r="G474" i="2"/>
  <c r="F474" i="2"/>
  <c r="E474" i="2"/>
  <c r="G473" i="2"/>
  <c r="F473" i="2"/>
  <c r="G472" i="2"/>
  <c r="F472" i="2"/>
  <c r="G471" i="2"/>
  <c r="F471" i="2"/>
  <c r="G470" i="2"/>
  <c r="F470" i="2"/>
  <c r="G469" i="2"/>
  <c r="F469" i="2"/>
  <c r="G468" i="2"/>
  <c r="F468" i="2"/>
  <c r="G467" i="2"/>
  <c r="F467" i="2"/>
  <c r="G466" i="2"/>
  <c r="F466" i="2"/>
  <c r="G465" i="2"/>
  <c r="F465" i="2"/>
  <c r="G464" i="2"/>
  <c r="F464" i="2"/>
  <c r="G463" i="2"/>
  <c r="F463" i="2"/>
  <c r="G462" i="2"/>
  <c r="F462" i="2"/>
  <c r="G461" i="2"/>
  <c r="F461" i="2"/>
  <c r="G460" i="2"/>
  <c r="F460" i="2"/>
  <c r="E460" i="2"/>
  <c r="G459" i="2"/>
  <c r="F459" i="2"/>
  <c r="E459" i="2"/>
  <c r="G458" i="2"/>
  <c r="F458" i="2"/>
  <c r="G457" i="2"/>
  <c r="F457" i="2"/>
  <c r="G456" i="2"/>
  <c r="F456" i="2"/>
  <c r="G455" i="2"/>
  <c r="F455" i="2"/>
  <c r="E455" i="2"/>
  <c r="G454" i="2"/>
  <c r="F454" i="2"/>
  <c r="E454" i="2"/>
  <c r="G453" i="2"/>
  <c r="F453" i="2"/>
  <c r="G452" i="2"/>
  <c r="F452" i="2"/>
  <c r="E452" i="2"/>
  <c r="G451" i="2"/>
  <c r="F451" i="2"/>
  <c r="G450" i="2"/>
  <c r="F450" i="2"/>
  <c r="G449" i="2"/>
  <c r="F449" i="2"/>
  <c r="G448" i="2"/>
  <c r="F448" i="2"/>
  <c r="G447" i="2"/>
  <c r="F447" i="2"/>
  <c r="G446" i="2"/>
  <c r="F446" i="2"/>
  <c r="E446" i="2"/>
  <c r="G445" i="2"/>
  <c r="F445" i="2"/>
  <c r="G444" i="2"/>
  <c r="F444" i="2"/>
  <c r="G443" i="2"/>
  <c r="F443" i="2"/>
  <c r="G442" i="2"/>
  <c r="F442" i="2"/>
  <c r="E442" i="2"/>
  <c r="G441" i="2"/>
  <c r="F441" i="2"/>
  <c r="E441" i="2"/>
  <c r="G440" i="2"/>
  <c r="F440" i="2"/>
  <c r="G439" i="2"/>
  <c r="F439" i="2"/>
  <c r="G438" i="2"/>
  <c r="F438" i="2"/>
  <c r="G437" i="2"/>
  <c r="F437" i="2"/>
  <c r="E437" i="2"/>
  <c r="G436" i="2"/>
  <c r="F436" i="2"/>
  <c r="G435" i="2"/>
  <c r="F435" i="2"/>
  <c r="G434" i="2"/>
  <c r="F434" i="2"/>
  <c r="G433" i="2"/>
  <c r="F433" i="2"/>
  <c r="G432" i="2"/>
  <c r="F432" i="2"/>
  <c r="G431" i="2"/>
  <c r="F431" i="2"/>
  <c r="G430" i="2"/>
  <c r="F430" i="2"/>
  <c r="E430" i="2"/>
  <c r="G429" i="2"/>
  <c r="F429" i="2"/>
  <c r="E429" i="2"/>
  <c r="G428" i="2"/>
  <c r="F428" i="2"/>
  <c r="G427" i="2"/>
  <c r="F427" i="2"/>
  <c r="G426" i="2"/>
  <c r="F426" i="2"/>
  <c r="G425" i="2"/>
  <c r="F425" i="2"/>
  <c r="G424" i="2"/>
  <c r="F424" i="2"/>
  <c r="G423" i="2"/>
  <c r="F423" i="2"/>
  <c r="G422" i="2"/>
  <c r="F422" i="2"/>
  <c r="G421" i="2"/>
  <c r="F421" i="2"/>
  <c r="G420" i="2"/>
  <c r="F420" i="2"/>
  <c r="G419" i="2"/>
  <c r="F419" i="2"/>
  <c r="G418" i="2"/>
  <c r="F418" i="2"/>
  <c r="G417" i="2"/>
  <c r="F417" i="2"/>
  <c r="G416" i="2"/>
  <c r="F416" i="2"/>
  <c r="E416" i="2"/>
  <c r="G415" i="2"/>
  <c r="F415" i="2"/>
  <c r="E415" i="2"/>
  <c r="G414" i="2"/>
  <c r="F414" i="2"/>
  <c r="E414" i="2"/>
  <c r="G413" i="2"/>
  <c r="F413" i="2"/>
  <c r="G412" i="2"/>
  <c r="F412" i="2"/>
  <c r="G411" i="2"/>
  <c r="F411" i="2"/>
  <c r="G410" i="2"/>
  <c r="F410" i="2"/>
  <c r="G409" i="2"/>
  <c r="F409" i="2"/>
  <c r="G408" i="2"/>
  <c r="F408" i="2"/>
  <c r="E408" i="2"/>
  <c r="G407" i="2"/>
  <c r="F407" i="2"/>
  <c r="G406" i="2"/>
  <c r="F406" i="2"/>
  <c r="G405" i="2"/>
  <c r="F405" i="2"/>
  <c r="G404" i="2"/>
  <c r="F404" i="2"/>
  <c r="G403" i="2"/>
  <c r="F403" i="2"/>
  <c r="G402" i="2"/>
  <c r="F402" i="2"/>
  <c r="G401" i="2"/>
  <c r="F401" i="2"/>
  <c r="G400" i="2"/>
  <c r="F400" i="2"/>
  <c r="E400" i="2"/>
  <c r="G399" i="2"/>
  <c r="F399" i="2"/>
  <c r="G398" i="2"/>
  <c r="F398" i="2"/>
  <c r="G397" i="2"/>
  <c r="F397" i="2"/>
  <c r="E397" i="2"/>
  <c r="G396" i="2"/>
  <c r="F396" i="2"/>
  <c r="E396" i="2"/>
  <c r="G395" i="2"/>
  <c r="F395" i="2"/>
  <c r="E395" i="2"/>
  <c r="G394" i="2"/>
  <c r="F394" i="2"/>
  <c r="E394" i="2"/>
  <c r="G393" i="2"/>
  <c r="F393" i="2"/>
  <c r="G392" i="2"/>
  <c r="F392" i="2"/>
  <c r="E392" i="2"/>
  <c r="G391" i="2"/>
  <c r="F391" i="2"/>
  <c r="G390" i="2"/>
  <c r="F390" i="2"/>
  <c r="G389" i="2"/>
  <c r="F389" i="2"/>
  <c r="E389" i="2"/>
  <c r="G388" i="2"/>
  <c r="F388" i="2"/>
  <c r="E388" i="2"/>
  <c r="G387" i="2"/>
  <c r="F387" i="2"/>
  <c r="G386" i="2"/>
  <c r="F386" i="2"/>
  <c r="G385" i="2"/>
  <c r="F385" i="2"/>
  <c r="G384" i="2"/>
  <c r="F384" i="2"/>
  <c r="G383" i="2"/>
  <c r="F383" i="2"/>
  <c r="E383" i="2"/>
  <c r="G382" i="2"/>
  <c r="F382" i="2"/>
  <c r="G381" i="2"/>
  <c r="F381" i="2"/>
  <c r="G380" i="2"/>
  <c r="F380" i="2"/>
  <c r="E380" i="2"/>
  <c r="G379" i="2"/>
  <c r="F379" i="2"/>
  <c r="G378" i="2"/>
  <c r="F378" i="2"/>
  <c r="G377" i="2"/>
  <c r="F377" i="2"/>
  <c r="G376" i="2"/>
  <c r="F376" i="2"/>
  <c r="G375" i="2"/>
  <c r="F375" i="2"/>
  <c r="G374" i="2"/>
  <c r="F374" i="2"/>
  <c r="G373" i="2"/>
  <c r="F373" i="2"/>
  <c r="G372" i="2"/>
  <c r="F372" i="2"/>
  <c r="G371" i="2"/>
  <c r="F371" i="2"/>
  <c r="G370" i="2"/>
  <c r="F370" i="2"/>
  <c r="G369" i="2"/>
  <c r="F369" i="2"/>
  <c r="G368" i="2"/>
  <c r="F368" i="2"/>
  <c r="G367" i="2"/>
  <c r="F367" i="2"/>
  <c r="G366" i="2"/>
  <c r="F366" i="2"/>
  <c r="G365" i="2"/>
  <c r="F365" i="2"/>
  <c r="G364" i="2"/>
  <c r="F364" i="2"/>
  <c r="G363" i="2"/>
  <c r="F363" i="2"/>
  <c r="G362" i="2"/>
  <c r="F362" i="2"/>
  <c r="E362" i="2"/>
  <c r="G361" i="2"/>
  <c r="F361" i="2"/>
  <c r="E361" i="2"/>
  <c r="G360" i="2"/>
  <c r="F360" i="2"/>
  <c r="G359" i="2"/>
  <c r="F359" i="2"/>
  <c r="G358" i="2"/>
  <c r="F358" i="2"/>
  <c r="G357" i="2"/>
  <c r="F357" i="2"/>
  <c r="G356" i="2"/>
  <c r="F356" i="2"/>
  <c r="G355" i="2"/>
  <c r="F355" i="2"/>
  <c r="G354" i="2"/>
  <c r="F354" i="2"/>
  <c r="G353" i="2"/>
  <c r="F353" i="2"/>
  <c r="E353" i="2"/>
  <c r="G352" i="2"/>
  <c r="F352" i="2"/>
  <c r="E352" i="2"/>
  <c r="G351" i="2"/>
  <c r="F351" i="2"/>
  <c r="G350" i="2"/>
  <c r="F350" i="2"/>
  <c r="G349" i="2"/>
  <c r="F349" i="2"/>
  <c r="G348" i="2"/>
  <c r="F348" i="2"/>
  <c r="E348" i="2"/>
  <c r="G347" i="2"/>
  <c r="F347" i="2"/>
  <c r="E347" i="2"/>
  <c r="G346" i="2"/>
  <c r="F346" i="2"/>
  <c r="G345" i="2"/>
  <c r="F345" i="2"/>
  <c r="E345" i="2"/>
  <c r="G344" i="2"/>
  <c r="F344" i="2"/>
  <c r="G343" i="2"/>
  <c r="F343" i="2"/>
  <c r="G342" i="2"/>
  <c r="F342" i="2"/>
  <c r="E342" i="2"/>
  <c r="G341" i="2"/>
  <c r="F341" i="2"/>
  <c r="E341" i="2"/>
  <c r="G340" i="2"/>
  <c r="F340" i="2"/>
  <c r="E340" i="2"/>
  <c r="G339" i="2"/>
  <c r="F339" i="2"/>
  <c r="G338" i="2"/>
  <c r="F338" i="2"/>
  <c r="G337" i="2"/>
  <c r="F337" i="2"/>
  <c r="E337" i="2"/>
  <c r="G336" i="2"/>
  <c r="F336" i="2"/>
  <c r="E336" i="2"/>
  <c r="G335" i="2"/>
  <c r="F335" i="2"/>
  <c r="G334" i="2"/>
  <c r="F334" i="2"/>
  <c r="G333" i="2"/>
  <c r="F333" i="2"/>
  <c r="E333" i="2"/>
  <c r="G332" i="2"/>
  <c r="F332" i="2"/>
  <c r="G331" i="2"/>
  <c r="F331" i="2"/>
  <c r="G330" i="2"/>
  <c r="F330" i="2"/>
  <c r="G329" i="2"/>
  <c r="F329" i="2"/>
  <c r="G328" i="2"/>
  <c r="F328" i="2"/>
  <c r="E328" i="2"/>
  <c r="G327" i="2"/>
  <c r="F327" i="2"/>
  <c r="G326" i="2"/>
  <c r="F326" i="2"/>
  <c r="E326" i="2"/>
  <c r="G325" i="2"/>
  <c r="F325" i="2"/>
  <c r="G324" i="2"/>
  <c r="F324" i="2"/>
  <c r="G323" i="2"/>
  <c r="F323" i="2"/>
  <c r="G322" i="2"/>
  <c r="F322" i="2"/>
  <c r="G321" i="2"/>
  <c r="F321" i="2"/>
  <c r="G320" i="2"/>
  <c r="F320" i="2"/>
  <c r="E320" i="2"/>
  <c r="G319" i="2"/>
  <c r="F319" i="2"/>
  <c r="G318" i="2"/>
  <c r="F318" i="2"/>
  <c r="G317" i="2"/>
  <c r="F317" i="2"/>
  <c r="G316" i="2"/>
  <c r="F316" i="2"/>
  <c r="G315" i="2"/>
  <c r="F315" i="2"/>
  <c r="G314" i="2"/>
  <c r="F314" i="2"/>
  <c r="G313" i="2"/>
  <c r="F313" i="2"/>
  <c r="G312" i="2"/>
  <c r="F312" i="2"/>
  <c r="G311" i="2"/>
  <c r="F311" i="2"/>
  <c r="G310" i="2"/>
  <c r="F310" i="2"/>
  <c r="G309" i="2"/>
  <c r="F309" i="2"/>
  <c r="G308" i="2"/>
  <c r="F308" i="2"/>
  <c r="E308" i="2"/>
  <c r="G307" i="2"/>
  <c r="F307" i="2"/>
  <c r="G306" i="2"/>
  <c r="F306" i="2"/>
  <c r="G305" i="2"/>
  <c r="F305" i="2"/>
  <c r="G304" i="2"/>
  <c r="F304" i="2"/>
  <c r="E304" i="2"/>
  <c r="G303" i="2"/>
  <c r="F303" i="2"/>
  <c r="G302" i="2"/>
  <c r="F302" i="2"/>
  <c r="E302" i="2"/>
  <c r="G301" i="2"/>
  <c r="F301" i="2"/>
  <c r="G300" i="2"/>
  <c r="F300" i="2"/>
  <c r="G299" i="2"/>
  <c r="F299" i="2"/>
  <c r="G298" i="2"/>
  <c r="F298" i="2"/>
  <c r="G297" i="2"/>
  <c r="F297" i="2"/>
  <c r="G296" i="2"/>
  <c r="F296" i="2"/>
  <c r="G295" i="2"/>
  <c r="F295" i="2"/>
  <c r="G294" i="2"/>
  <c r="F294" i="2"/>
  <c r="E294" i="2"/>
  <c r="G293" i="2"/>
  <c r="F293" i="2"/>
  <c r="G292" i="2"/>
  <c r="F292" i="2"/>
  <c r="G291" i="2"/>
  <c r="F291" i="2"/>
  <c r="G290" i="2"/>
  <c r="F290" i="2"/>
  <c r="G289" i="2"/>
  <c r="F289" i="2"/>
  <c r="G288" i="2"/>
  <c r="F288" i="2"/>
  <c r="E288" i="2"/>
  <c r="G287" i="2"/>
  <c r="F287" i="2"/>
  <c r="G286" i="2"/>
  <c r="F286" i="2"/>
  <c r="G285" i="2"/>
  <c r="F285" i="2"/>
  <c r="G284" i="2"/>
  <c r="F284" i="2"/>
  <c r="G283" i="2"/>
  <c r="F283" i="2"/>
  <c r="E283" i="2"/>
  <c r="G282" i="2"/>
  <c r="F282" i="2"/>
  <c r="G281" i="2"/>
  <c r="F281" i="2"/>
  <c r="G280" i="2"/>
  <c r="F280" i="2"/>
  <c r="E280" i="2"/>
  <c r="G279" i="2"/>
  <c r="F279" i="2"/>
  <c r="E279" i="2"/>
  <c r="G278" i="2"/>
  <c r="F278" i="2"/>
  <c r="E278" i="2"/>
  <c r="G277" i="2"/>
  <c r="F277" i="2"/>
  <c r="G276" i="2"/>
  <c r="F276" i="2"/>
  <c r="E276" i="2"/>
  <c r="G275" i="2"/>
  <c r="F275" i="2"/>
  <c r="G274" i="2"/>
  <c r="F274" i="2"/>
  <c r="E274" i="2"/>
  <c r="G273" i="2"/>
  <c r="F273" i="2"/>
  <c r="G272" i="2"/>
  <c r="F272" i="2"/>
  <c r="E272" i="2"/>
  <c r="G271" i="2"/>
  <c r="F271" i="2"/>
  <c r="E271" i="2"/>
  <c r="G270" i="2"/>
  <c r="F270" i="2"/>
  <c r="G269" i="2"/>
  <c r="F269" i="2"/>
  <c r="G268" i="2"/>
  <c r="F268" i="2"/>
  <c r="E268" i="2"/>
  <c r="G267" i="2"/>
  <c r="F267" i="2"/>
  <c r="E267" i="2"/>
  <c r="G266" i="2"/>
  <c r="F266" i="2"/>
  <c r="G265" i="2"/>
  <c r="F265" i="2"/>
  <c r="E265" i="2"/>
  <c r="G264" i="2"/>
  <c r="F264" i="2"/>
  <c r="E264" i="2"/>
  <c r="G263" i="2"/>
  <c r="F263" i="2"/>
  <c r="E263" i="2"/>
  <c r="G262" i="2"/>
  <c r="F262" i="2"/>
  <c r="G261" i="2"/>
  <c r="F261" i="2"/>
  <c r="E261" i="2"/>
  <c r="G260" i="2"/>
  <c r="F260" i="2"/>
  <c r="E260" i="2"/>
  <c r="G259" i="2"/>
  <c r="F259" i="2"/>
  <c r="G258" i="2"/>
  <c r="F258" i="2"/>
  <c r="E258" i="2"/>
  <c r="G257" i="2"/>
  <c r="F257" i="2"/>
  <c r="G256" i="2"/>
  <c r="F256" i="2"/>
  <c r="G255" i="2"/>
  <c r="F255" i="2"/>
  <c r="G254" i="2"/>
  <c r="F254" i="2"/>
  <c r="G253" i="2"/>
  <c r="F253" i="2"/>
  <c r="G252" i="2"/>
  <c r="F252" i="2"/>
  <c r="G251" i="2"/>
  <c r="F251" i="2"/>
  <c r="G250" i="2"/>
  <c r="F250" i="2"/>
  <c r="E250" i="2"/>
  <c r="G249" i="2"/>
  <c r="F249" i="2"/>
  <c r="G248" i="2"/>
  <c r="F248" i="2"/>
  <c r="G247" i="2"/>
  <c r="F247" i="2"/>
  <c r="G246" i="2"/>
  <c r="F246" i="2"/>
  <c r="E246" i="2"/>
  <c r="G245" i="2"/>
  <c r="F245" i="2"/>
  <c r="G244" i="2"/>
  <c r="F244" i="2"/>
  <c r="G243" i="2"/>
  <c r="F243" i="2"/>
  <c r="E243" i="2"/>
  <c r="G242" i="2"/>
  <c r="F242" i="2"/>
  <c r="G241" i="2"/>
  <c r="F241" i="2"/>
  <c r="G240" i="2"/>
  <c r="F240" i="2"/>
  <c r="G239" i="2"/>
  <c r="F239" i="2"/>
  <c r="G238" i="2"/>
  <c r="F238" i="2"/>
  <c r="G237" i="2"/>
  <c r="F237" i="2"/>
  <c r="G236" i="2"/>
  <c r="F236" i="2"/>
  <c r="G235" i="2"/>
  <c r="F235" i="2"/>
  <c r="G234" i="2"/>
  <c r="F234" i="2"/>
  <c r="G233" i="2"/>
  <c r="F233" i="2"/>
  <c r="G232" i="2"/>
  <c r="F232" i="2"/>
  <c r="G231" i="2"/>
  <c r="F231" i="2"/>
  <c r="E231" i="2"/>
  <c r="G230" i="2"/>
  <c r="F230" i="2"/>
  <c r="G229" i="2"/>
  <c r="F229" i="2"/>
  <c r="G228" i="2"/>
  <c r="F228" i="2"/>
  <c r="G227" i="2"/>
  <c r="F227" i="2"/>
  <c r="G226" i="2"/>
  <c r="F226" i="2"/>
  <c r="G225" i="2"/>
  <c r="F225" i="2"/>
  <c r="E225" i="2"/>
  <c r="G224" i="2"/>
  <c r="F224" i="2"/>
  <c r="E224" i="2"/>
  <c r="G223" i="2"/>
  <c r="F223" i="2"/>
  <c r="G222" i="2"/>
  <c r="F222" i="2"/>
  <c r="E222" i="2"/>
  <c r="G221" i="2"/>
  <c r="F221" i="2"/>
  <c r="E221" i="2"/>
  <c r="G220" i="2"/>
  <c r="F220" i="2"/>
  <c r="E220" i="2"/>
  <c r="G219" i="2"/>
  <c r="F219" i="2"/>
  <c r="E219" i="2"/>
  <c r="G218" i="2"/>
  <c r="F218" i="2"/>
  <c r="G217" i="2"/>
  <c r="F217" i="2"/>
  <c r="G216" i="2"/>
  <c r="F216" i="2"/>
  <c r="G215" i="2"/>
  <c r="F215" i="2"/>
  <c r="G214" i="2"/>
  <c r="F214" i="2"/>
  <c r="G213" i="2"/>
  <c r="F213" i="2"/>
  <c r="G212" i="2"/>
  <c r="F212" i="2"/>
  <c r="G211" i="2"/>
  <c r="F211" i="2"/>
  <c r="G210" i="2"/>
  <c r="F210" i="2"/>
  <c r="G209" i="2"/>
  <c r="F209" i="2"/>
  <c r="G208" i="2"/>
  <c r="F208" i="2"/>
  <c r="G207" i="2"/>
  <c r="F207" i="2"/>
  <c r="E207" i="2"/>
  <c r="G206" i="2"/>
  <c r="F206" i="2"/>
  <c r="E206" i="2"/>
  <c r="G205" i="2"/>
  <c r="F205" i="2"/>
  <c r="G204" i="2"/>
  <c r="F204" i="2"/>
  <c r="G203" i="2"/>
  <c r="F203" i="2"/>
  <c r="E203" i="2"/>
  <c r="G202" i="2"/>
  <c r="F202" i="2"/>
  <c r="E202" i="2"/>
  <c r="G201" i="2"/>
  <c r="F201" i="2"/>
  <c r="G200" i="2"/>
  <c r="F200" i="2"/>
  <c r="G199" i="2"/>
  <c r="F199" i="2"/>
  <c r="G198" i="2"/>
  <c r="F198" i="2"/>
  <c r="G197" i="2"/>
  <c r="F197" i="2"/>
  <c r="G196" i="2"/>
  <c r="F196" i="2"/>
  <c r="G195" i="2"/>
  <c r="F195" i="2"/>
  <c r="G194" i="2"/>
  <c r="F194" i="2"/>
  <c r="G193" i="2"/>
  <c r="F193" i="2"/>
  <c r="G192" i="2"/>
  <c r="F192" i="2"/>
  <c r="G191" i="2"/>
  <c r="F191" i="2"/>
  <c r="G190" i="2"/>
  <c r="F190" i="2"/>
  <c r="E190" i="2"/>
  <c r="G189" i="2"/>
  <c r="F189" i="2"/>
  <c r="G188" i="2"/>
  <c r="F188" i="2"/>
  <c r="G187" i="2"/>
  <c r="F187" i="2"/>
  <c r="G186" i="2"/>
  <c r="F186" i="2"/>
  <c r="G185" i="2"/>
  <c r="F185" i="2"/>
  <c r="G184" i="2"/>
  <c r="F184" i="2"/>
  <c r="G183" i="2"/>
  <c r="F183" i="2"/>
  <c r="G182" i="2"/>
  <c r="F182" i="2"/>
  <c r="G181" i="2"/>
  <c r="F181" i="2"/>
  <c r="E181" i="2"/>
  <c r="G180" i="2"/>
  <c r="F180" i="2"/>
  <c r="G179" i="2"/>
  <c r="F179" i="2"/>
  <c r="G178" i="2"/>
  <c r="F178" i="2"/>
  <c r="G177" i="2"/>
  <c r="F177" i="2"/>
  <c r="G176" i="2"/>
  <c r="F176" i="2"/>
  <c r="G175" i="2"/>
  <c r="F175" i="2"/>
  <c r="G174" i="2"/>
  <c r="F174" i="2"/>
  <c r="G173" i="2"/>
  <c r="F173" i="2"/>
  <c r="E173" i="2"/>
  <c r="G172" i="2"/>
  <c r="F172" i="2"/>
  <c r="E172" i="2"/>
  <c r="G171" i="2"/>
  <c r="F171" i="2"/>
  <c r="G170" i="2"/>
  <c r="F170" i="2"/>
  <c r="E170" i="2"/>
  <c r="G169" i="2"/>
  <c r="F169" i="2"/>
  <c r="E169" i="2"/>
  <c r="G168" i="2"/>
  <c r="F168" i="2"/>
  <c r="G167" i="2"/>
  <c r="F167" i="2"/>
  <c r="E167" i="2"/>
  <c r="G166" i="2"/>
  <c r="F166" i="2"/>
  <c r="G165" i="2"/>
  <c r="F165" i="2"/>
  <c r="G164" i="2"/>
  <c r="F164" i="2"/>
  <c r="G163" i="2"/>
  <c r="F163" i="2"/>
  <c r="E163" i="2"/>
  <c r="G162" i="2"/>
  <c r="F162" i="2"/>
  <c r="G161" i="2"/>
  <c r="F161" i="2"/>
  <c r="E161" i="2"/>
  <c r="G160" i="2"/>
  <c r="F160" i="2"/>
  <c r="E160" i="2"/>
  <c r="G159" i="2"/>
  <c r="F159" i="2"/>
  <c r="G158" i="2"/>
  <c r="F158" i="2"/>
  <c r="G157" i="2"/>
  <c r="F157" i="2"/>
  <c r="E157" i="2"/>
  <c r="G156" i="2"/>
  <c r="F156" i="2"/>
  <c r="G155" i="2"/>
  <c r="F155" i="2"/>
  <c r="E155" i="2"/>
  <c r="G154" i="2"/>
  <c r="F154" i="2"/>
  <c r="E154" i="2"/>
  <c r="G153" i="2"/>
  <c r="F153" i="2"/>
  <c r="G152" i="2"/>
  <c r="F152" i="2"/>
  <c r="G151" i="2"/>
  <c r="F151" i="2"/>
  <c r="E151" i="2"/>
  <c r="G150" i="2"/>
  <c r="F150" i="2"/>
  <c r="G149" i="2"/>
  <c r="F149" i="2"/>
  <c r="E149" i="2"/>
  <c r="G148" i="2"/>
  <c r="F148" i="2"/>
  <c r="E148" i="2"/>
  <c r="G147" i="2"/>
  <c r="F147" i="2"/>
  <c r="E147" i="2"/>
  <c r="G146" i="2"/>
  <c r="F146" i="2"/>
  <c r="E146" i="2"/>
  <c r="G145" i="2"/>
  <c r="F145" i="2"/>
  <c r="G144" i="2"/>
  <c r="F144" i="2"/>
  <c r="G143" i="2"/>
  <c r="F143" i="2"/>
  <c r="G142" i="2"/>
  <c r="F142" i="2"/>
  <c r="E142" i="2"/>
  <c r="G141" i="2"/>
  <c r="F141" i="2"/>
  <c r="E141" i="2"/>
  <c r="G140" i="2"/>
  <c r="F140" i="2"/>
  <c r="G139" i="2"/>
  <c r="F139" i="2"/>
  <c r="G138" i="2"/>
  <c r="F138" i="2"/>
  <c r="E138" i="2"/>
  <c r="G137" i="2"/>
  <c r="F137" i="2"/>
  <c r="G136" i="2"/>
  <c r="F136" i="2"/>
  <c r="G135" i="2"/>
  <c r="F135" i="2"/>
  <c r="G134" i="2"/>
  <c r="F134" i="2"/>
  <c r="G133" i="2"/>
  <c r="F133" i="2"/>
  <c r="G132" i="2"/>
  <c r="F132" i="2"/>
  <c r="G131" i="2"/>
  <c r="F131" i="2"/>
  <c r="G130" i="2"/>
  <c r="F130" i="2"/>
  <c r="E130" i="2"/>
  <c r="G129" i="2"/>
  <c r="F129" i="2"/>
  <c r="E129" i="2"/>
  <c r="G128" i="2"/>
  <c r="F128" i="2"/>
  <c r="E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G121" i="2"/>
  <c r="F121" i="2"/>
  <c r="G120" i="2"/>
  <c r="F120" i="2"/>
  <c r="G119" i="2"/>
  <c r="F119" i="2"/>
  <c r="G118" i="2"/>
  <c r="F118" i="2"/>
  <c r="G117" i="2"/>
  <c r="F117" i="2"/>
  <c r="G116" i="2"/>
  <c r="F116" i="2"/>
  <c r="G115" i="2"/>
  <c r="F115" i="2"/>
  <c r="G114" i="2"/>
  <c r="F114" i="2"/>
  <c r="G113" i="2"/>
  <c r="F113" i="2"/>
  <c r="G112" i="2"/>
  <c r="F112" i="2"/>
  <c r="G111" i="2"/>
  <c r="F111" i="2"/>
  <c r="G110" i="2"/>
  <c r="F110" i="2"/>
  <c r="G109" i="2"/>
  <c r="F109" i="2"/>
  <c r="G108" i="2"/>
  <c r="F108" i="2"/>
  <c r="G107" i="2"/>
  <c r="F107" i="2"/>
  <c r="G106" i="2"/>
  <c r="F106" i="2"/>
  <c r="G105" i="2"/>
  <c r="F105" i="2"/>
  <c r="G104" i="2"/>
  <c r="F104" i="2"/>
  <c r="G103" i="2"/>
  <c r="F103" i="2"/>
  <c r="G102" i="2"/>
  <c r="F102" i="2"/>
  <c r="G101" i="2"/>
  <c r="F101" i="2"/>
  <c r="G100" i="2"/>
  <c r="F100" i="2"/>
  <c r="G99" i="2"/>
  <c r="F99" i="2"/>
  <c r="G98" i="2"/>
  <c r="F98" i="2"/>
  <c r="G97" i="2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E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E73" i="2"/>
  <c r="G72" i="2"/>
  <c r="F72" i="2"/>
  <c r="G71" i="2"/>
  <c r="F71" i="2"/>
  <c r="G70" i="2"/>
  <c r="F70" i="2"/>
  <c r="E70" i="2"/>
  <c r="G69" i="2"/>
  <c r="F69" i="2"/>
  <c r="E69" i="2"/>
  <c r="G68" i="2"/>
  <c r="F68" i="2"/>
  <c r="E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E59" i="2"/>
  <c r="G58" i="2"/>
  <c r="F58" i="2"/>
  <c r="G57" i="2"/>
  <c r="F57" i="2"/>
  <c r="E57" i="2"/>
  <c r="G56" i="2"/>
  <c r="F56" i="2"/>
  <c r="G55" i="2"/>
  <c r="F55" i="2"/>
  <c r="G54" i="2"/>
  <c r="F54" i="2"/>
  <c r="E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E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E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E25" i="2"/>
  <c r="G24" i="2"/>
  <c r="F24" i="2"/>
  <c r="F23" i="2"/>
  <c r="G22" i="2"/>
  <c r="F22" i="2"/>
  <c r="G21" i="2"/>
  <c r="F21" i="2"/>
  <c r="G20" i="2"/>
  <c r="F20" i="2"/>
  <c r="G19" i="2"/>
  <c r="F19" i="2"/>
  <c r="F18" i="2"/>
  <c r="E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F8" i="2"/>
  <c r="E8" i="2"/>
  <c r="G7" i="2"/>
  <c r="F7" i="2"/>
  <c r="G6" i="2"/>
  <c r="F6" i="2"/>
  <c r="G5" i="2"/>
  <c r="F5" i="2"/>
  <c r="G4" i="2"/>
  <c r="F4" i="2"/>
  <c r="G3" i="2"/>
  <c r="F3" i="2"/>
  <c r="G2" i="2"/>
  <c r="F2" i="2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B11" i="1"/>
  <c r="B10" i="1"/>
  <c r="B5" i="1"/>
  <c r="B4" i="1"/>
  <c r="B3" i="1"/>
</calcChain>
</file>

<file path=xl/sharedStrings.xml><?xml version="1.0" encoding="utf-8"?>
<sst xmlns="http://schemas.openxmlformats.org/spreadsheetml/2006/main" count="1088" uniqueCount="297">
  <si>
    <t xml:space="preserve">  </t>
  </si>
  <si>
    <t>Total Ventes (DT)</t>
  </si>
  <si>
    <t>Total Remises (DT)</t>
  </si>
  <si>
    <t>Nombre de Tickets</t>
  </si>
  <si>
    <t>Répartition par Type de Paiement</t>
  </si>
  <si>
    <t>Total par Jour</t>
  </si>
  <si>
    <t>Type</t>
  </si>
  <si>
    <t>Total (DT)</t>
  </si>
  <si>
    <t>Date</t>
  </si>
  <si>
    <t>Espèces</t>
  </si>
  <si>
    <t>Carte</t>
  </si>
  <si>
    <t>Produit</t>
  </si>
  <si>
    <t>Quantité</t>
  </si>
  <si>
    <t>Prix Unitaire (DT)</t>
  </si>
  <si>
    <t>Remise (%)</t>
  </si>
  <si>
    <t>Montant Total (DT)</t>
  </si>
  <si>
    <t>Montant Remise (DT)</t>
  </si>
  <si>
    <t>Type de Paiement (Espèces / Carte)</t>
  </si>
  <si>
    <t>Client (optionnel)</t>
  </si>
  <si>
    <t>Remarques</t>
  </si>
  <si>
    <t>Plateau 30*10</t>
  </si>
  <si>
    <t>carte</t>
  </si>
  <si>
    <t>Plateau 20*10</t>
  </si>
  <si>
    <t>Plateau 20*20</t>
  </si>
  <si>
    <t>Magnet fridge</t>
  </si>
  <si>
    <t xml:space="preserve">Porte clé chachia </t>
  </si>
  <si>
    <t>Couffin sac à main</t>
  </si>
  <si>
    <t>Planche Bois</t>
  </si>
  <si>
    <t>Fouta</t>
  </si>
  <si>
    <t>fridge magnet</t>
  </si>
  <si>
    <t>mouton T3</t>
  </si>
  <si>
    <t>Sous plat bois</t>
  </si>
  <si>
    <t>Bouteille huile</t>
  </si>
  <si>
    <t>bouteille huile</t>
  </si>
  <si>
    <t>bougie sidi bousaid MF</t>
  </si>
  <si>
    <t>bougie trio</t>
  </si>
  <si>
    <t>tasse + st coeur irr</t>
  </si>
  <si>
    <t>bougie sidi bousaid GF</t>
  </si>
  <si>
    <t>bouteille huile d'olive poisson pf</t>
  </si>
  <si>
    <t>Bouteille huile d'olive pf</t>
  </si>
  <si>
    <t xml:space="preserve">Tote Bag </t>
  </si>
  <si>
    <t>Porte clé porte</t>
  </si>
  <si>
    <t>Plateau 30*20</t>
  </si>
  <si>
    <t>vase Poissons</t>
  </si>
  <si>
    <t>BROC verre GM</t>
  </si>
  <si>
    <t>Mouton PF</t>
  </si>
  <si>
    <t xml:space="preserve">Poisson avec Tige </t>
  </si>
  <si>
    <t>Carafe didon Bleue</t>
  </si>
  <si>
    <t>Cliente anglaise 225 , bougie offerte</t>
  </si>
  <si>
    <t>Carafe Medina Bleue</t>
  </si>
  <si>
    <t>Verre Bleu PF</t>
  </si>
  <si>
    <t>Carafe Didon Miel</t>
  </si>
  <si>
    <t>Client algérien commande 308 , tote bag offert</t>
  </si>
  <si>
    <t>Verre Miel PF</t>
  </si>
  <si>
    <t>Verre Miel MF</t>
  </si>
  <si>
    <t>Bonbonniére Miel</t>
  </si>
  <si>
    <t>Bonbonniére ebene</t>
  </si>
  <si>
    <t>Bonbonniére trans</t>
  </si>
  <si>
    <t>Tasse + st fleur bleue irr</t>
  </si>
  <si>
    <t>tote bag cadeau</t>
  </si>
  <si>
    <t>Carafe Tanit miel</t>
  </si>
  <si>
    <t>Verre Miel GF</t>
  </si>
  <si>
    <t>Bouteille Huile d'olive fleurs GF</t>
  </si>
  <si>
    <t>Mug emeraude Sougui</t>
  </si>
  <si>
    <t xml:space="preserve">Plat zouba emeraude </t>
  </si>
  <si>
    <t>Bougie Sidi bousaid MF</t>
  </si>
  <si>
    <t>Vase Corps PF</t>
  </si>
  <si>
    <t>Carafe Medina Miel</t>
  </si>
  <si>
    <t>Verre Bleu GF</t>
  </si>
  <si>
    <t>verre Miel GF</t>
  </si>
  <si>
    <t>Safé Guettat Rotaract , prix spécial</t>
  </si>
  <si>
    <t>Mouton MF</t>
  </si>
  <si>
    <t>tasse + st irr</t>
  </si>
  <si>
    <t>Magnet offert</t>
  </si>
  <si>
    <t>Mouton GF</t>
  </si>
  <si>
    <t>Bouteille Huile d'olive PF</t>
  </si>
  <si>
    <t>Mug Zouba Vert et mauve</t>
  </si>
  <si>
    <t>sous tasse bleu et blanc PF zouba</t>
  </si>
  <si>
    <t>Tasse irr sans St</t>
  </si>
  <si>
    <t>2 bol zouba + 2creux + plat dessert emraude</t>
  </si>
  <si>
    <t>Tasse + st  jasmin PF</t>
  </si>
  <si>
    <t xml:space="preserve">plateau 6 + 2 bobonniére + diffiseur + bouteille pm </t>
  </si>
  <si>
    <t>palteau 4</t>
  </si>
  <si>
    <t>plateau 6 + plateau 2 + porte sous tasses</t>
  </si>
  <si>
    <t>mot du coueur solo</t>
  </si>
  <si>
    <t>Mouton T2</t>
  </si>
  <si>
    <t>client m'a donné 5 euros</t>
  </si>
  <si>
    <t>mouton T2</t>
  </si>
  <si>
    <t>carafe Bled champagne</t>
  </si>
  <si>
    <t>Packaging carafe</t>
  </si>
  <si>
    <t>tasse ceram bouquet  sans St</t>
  </si>
  <si>
    <t xml:space="preserve">tasse irr fleur bleu </t>
  </si>
  <si>
    <t xml:space="preserve">photophote T1 + solo </t>
  </si>
  <si>
    <t>photophote T1</t>
  </si>
  <si>
    <t>bouteille + diffuseur</t>
  </si>
  <si>
    <t>tassa +st irr violet</t>
  </si>
  <si>
    <t>tasse irr oeil grec</t>
  </si>
  <si>
    <t>110 par carte + porte clé chachia gift</t>
  </si>
  <si>
    <t>zouba tasse fleur</t>
  </si>
  <si>
    <t>verre soufle bleu GF</t>
  </si>
  <si>
    <t>mug irr red flower</t>
  </si>
  <si>
    <t>fish</t>
  </si>
  <si>
    <t>moia T2</t>
  </si>
  <si>
    <t>mug fleur bleu</t>
  </si>
  <si>
    <t>diffiseur</t>
  </si>
  <si>
    <t>plateau 3</t>
  </si>
  <si>
    <t>zouba tasse emraude</t>
  </si>
  <si>
    <t>sac couffin cuire</t>
  </si>
  <si>
    <t>carafe bled transparent + packaging</t>
  </si>
  <si>
    <t>petit verre soufflé Transparent</t>
  </si>
  <si>
    <t>petit verre soufflé Bleu</t>
  </si>
  <si>
    <t>Sceau glaçon</t>
  </si>
  <si>
    <t>mouton T1</t>
  </si>
  <si>
    <t>plateau 3 + carafe didon champagne + 2 petit verres</t>
  </si>
  <si>
    <t>bouteilles aouiti</t>
  </si>
  <si>
    <t>bouteille aouiti</t>
  </si>
  <si>
    <t>mug irr blue flower</t>
  </si>
  <si>
    <t>Carafe Didon miel</t>
  </si>
  <si>
    <t>Verre miel PF</t>
  </si>
  <si>
    <t>PAIEMENT 01/10</t>
  </si>
  <si>
    <t>Frdige magnet gift</t>
  </si>
  <si>
    <t xml:space="preserve">Photophore Sidi Bousaid </t>
  </si>
  <si>
    <t>Mug irr blue flower</t>
  </si>
  <si>
    <t>Couffin + fouta</t>
  </si>
  <si>
    <t>fouta</t>
  </si>
  <si>
    <t>Bol Zouba 15 dt</t>
  </si>
  <si>
    <t>Verre à vin miel</t>
  </si>
  <si>
    <t>Carafe Medina miel</t>
  </si>
  <si>
    <t>plateau 30*20</t>
  </si>
  <si>
    <t>bouteille huile d'olive GF</t>
  </si>
  <si>
    <t>porte clé gift</t>
  </si>
  <si>
    <t>vase bleu mf</t>
  </si>
  <si>
    <t>Flute Verre Miel</t>
  </si>
  <si>
    <t>carafe didon</t>
  </si>
  <si>
    <t>Carafe medina</t>
  </si>
  <si>
    <t>plateau 20*10</t>
  </si>
  <si>
    <t xml:space="preserve">reste 15dt demain matin </t>
  </si>
  <si>
    <t>Bonbonnière Violet</t>
  </si>
  <si>
    <t>bougie parfumée Abm</t>
  </si>
  <si>
    <t xml:space="preserve">Lampe béton </t>
  </si>
  <si>
    <t>Bougie Sidi Bousaid PF</t>
  </si>
  <si>
    <t>Tanit céramique</t>
  </si>
  <si>
    <t>Sous plat Céramique Aouiti</t>
  </si>
  <si>
    <t>Bouteille Huile Aouiti PF</t>
  </si>
  <si>
    <t>Flute Verre Transparent</t>
  </si>
  <si>
    <t>Mug Raku</t>
  </si>
  <si>
    <t>Mug Fleur rose Irr</t>
  </si>
  <si>
    <t>Fouta Jaune</t>
  </si>
  <si>
    <t>Mouton T1</t>
  </si>
  <si>
    <t>Bouteille Huile Aouiti GF</t>
  </si>
  <si>
    <t>Bougie Sidi Bousaid GF</t>
  </si>
  <si>
    <t>Fridge magnet</t>
  </si>
  <si>
    <t>Toupie</t>
  </si>
  <si>
    <t xml:space="preserve">Sous Plat </t>
  </si>
  <si>
    <t>Planche céramique Aouiti</t>
  </si>
  <si>
    <t>porte clé</t>
  </si>
  <si>
    <t>Bouteille huile aouiti GF</t>
  </si>
  <si>
    <t>Planche bois d'olivier</t>
  </si>
  <si>
    <t>Carafe medina miel</t>
  </si>
  <si>
    <t xml:space="preserve">Fouta </t>
  </si>
  <si>
    <t>Mug + paille</t>
  </si>
  <si>
    <t xml:space="preserve">Tasse + St </t>
  </si>
  <si>
    <t>Bol vert Zouba</t>
  </si>
  <si>
    <t>Tasse + st irr</t>
  </si>
  <si>
    <t>Vide poche BO</t>
  </si>
  <si>
    <t>tote bag offerte</t>
  </si>
  <si>
    <t>échequier</t>
  </si>
  <si>
    <t>Mug +planche</t>
  </si>
  <si>
    <t>TOTE BAG OFFERT</t>
  </si>
  <si>
    <t>Tasse + ST irr</t>
  </si>
  <si>
    <t>Mug Zouba Emeraude PF</t>
  </si>
  <si>
    <t>Pack Mosaique</t>
  </si>
  <si>
    <t>Sous Tasse BO</t>
  </si>
  <si>
    <t>Bouteille Huile d'olive</t>
  </si>
  <si>
    <t>3 tote bags offerts</t>
  </si>
  <si>
    <t xml:space="preserve">Echéquier </t>
  </si>
  <si>
    <t xml:space="preserve">porte clé </t>
  </si>
  <si>
    <t xml:space="preserve">Verre Miel </t>
  </si>
  <si>
    <t xml:space="preserve">bonbonniére </t>
  </si>
  <si>
    <t xml:space="preserve">Poisson Céramique </t>
  </si>
  <si>
    <t xml:space="preserve">tote bag </t>
  </si>
  <si>
    <t>Porte clé</t>
  </si>
  <si>
    <t>Vase Gris Amazigh Aouiti PF</t>
  </si>
  <si>
    <t xml:space="preserve">Tasse + ST </t>
  </si>
  <si>
    <t>Sous Tasse Bois d'olivier</t>
  </si>
  <si>
    <t>Tasse + St irr</t>
  </si>
  <si>
    <t>tote bag offert</t>
  </si>
  <si>
    <t>Flute Miel</t>
  </si>
  <si>
    <t>Diffuseur Aouiti</t>
  </si>
  <si>
    <t>Bougie Sidi Bousaid Solo PF</t>
  </si>
  <si>
    <t>Bouteille Huile d'olive gf</t>
  </si>
  <si>
    <t>Bouteille Huile d'olive mf</t>
  </si>
  <si>
    <t>Bougie Sidi Bousaid Solo MF</t>
  </si>
  <si>
    <t>Boudha béton</t>
  </si>
  <si>
    <t>Bouteille Huile d'olive pf</t>
  </si>
  <si>
    <t>Bougie Sidi Bousaid Set 3</t>
  </si>
  <si>
    <t>tanit cadeau</t>
  </si>
  <si>
    <t xml:space="preserve">Bol Zouba emeraude </t>
  </si>
  <si>
    <t>Trio Porte bougie Rouge</t>
  </si>
  <si>
    <t>Vase Gris Aamazigh Aouiti MF</t>
  </si>
  <si>
    <t>Sous tasse BO</t>
  </si>
  <si>
    <t>Trio Vases Bleu Aouiti</t>
  </si>
  <si>
    <t xml:space="preserve">Grand Couffin </t>
  </si>
  <si>
    <t xml:space="preserve">Bol Zouba </t>
  </si>
  <si>
    <t xml:space="preserve">Planche céramique Aouiti </t>
  </si>
  <si>
    <t>Carafe Didon Bleue</t>
  </si>
  <si>
    <t>Verre à pied Bleu</t>
  </si>
  <si>
    <t>Tasse + ST coeur</t>
  </si>
  <si>
    <t>Vase gris MF</t>
  </si>
  <si>
    <t>Feuille Longue Zouba</t>
  </si>
  <si>
    <t>Boite céramique PF</t>
  </si>
  <si>
    <t>Bougie Sidi Bousaid MF</t>
  </si>
  <si>
    <t xml:space="preserve">Veilleuse nattes </t>
  </si>
  <si>
    <t>Tote bag offert</t>
  </si>
  <si>
    <t>Bonbonniére transparente</t>
  </si>
  <si>
    <t>Grand Couffin + Fouta</t>
  </si>
  <si>
    <t>Bougie Sidi bousaid solo pf</t>
  </si>
  <si>
    <t xml:space="preserve">Echequier </t>
  </si>
  <si>
    <t>Bougie solo offert</t>
  </si>
  <si>
    <t>Bougeoir Raku</t>
  </si>
  <si>
    <t>Plateau émeraude dessin deux arbres Zouba</t>
  </si>
  <si>
    <t>Trio Vases Rouge Aouiti</t>
  </si>
  <si>
    <t xml:space="preserve">Boite ronde céramique </t>
  </si>
  <si>
    <t>Bougie solo pf offert</t>
  </si>
  <si>
    <t>Tasse+ ST</t>
  </si>
  <si>
    <t>tASSE + st irr</t>
  </si>
  <si>
    <t>Moia Béton PF</t>
  </si>
  <si>
    <t xml:space="preserve">Mug Rose </t>
  </si>
  <si>
    <t xml:space="preserve">Tote bag </t>
  </si>
  <si>
    <t>Mug + sous tasse Zouba</t>
  </si>
  <si>
    <t>Set Moia béton</t>
  </si>
  <si>
    <t>Verre GF</t>
  </si>
  <si>
    <t>Bouteille Huile d'olive GF</t>
  </si>
  <si>
    <t>Tasse + planche coeur à coeur</t>
  </si>
  <si>
    <t>Tasse + St mot du coeur</t>
  </si>
  <si>
    <t>Trio Bougie sidi bou</t>
  </si>
  <si>
    <t>Trio Vases Gris Aouiti</t>
  </si>
  <si>
    <t>Tasse+ ST coeur à coeur</t>
  </si>
  <si>
    <t>Tasse+ St mot du coeur</t>
  </si>
  <si>
    <t>Bougie Sidi Bousaid solo pf</t>
  </si>
  <si>
    <t>Mug rose COEUR Zouba</t>
  </si>
  <si>
    <t xml:space="preserve">Bougie Sidi bou solo Pf </t>
  </si>
  <si>
    <t>Bouteille Huile D'olive pf</t>
  </si>
  <si>
    <t>Mouton T3</t>
  </si>
  <si>
    <t>Vase corps PF</t>
  </si>
  <si>
    <t>Vase corps GF</t>
  </si>
  <si>
    <t>tOTE BAG OFFERT</t>
  </si>
  <si>
    <t>Tasse + ST fleur orange</t>
  </si>
  <si>
    <t>Bougie Parfumée rose</t>
  </si>
  <si>
    <t>Tasse + Planche envoutant</t>
  </si>
  <si>
    <t>Bougie parfumée Rose</t>
  </si>
  <si>
    <t>Vase Corps GF</t>
  </si>
  <si>
    <t>Verre Bleu pf</t>
  </si>
  <si>
    <t xml:space="preserve">bonbonniére ébène </t>
  </si>
  <si>
    <t>Céramique Poisson</t>
  </si>
  <si>
    <t>Céramique Khomssa</t>
  </si>
  <si>
    <t>Porte clé chachia</t>
  </si>
  <si>
    <t xml:space="preserve">Toupie </t>
  </si>
  <si>
    <t>Tasse Mot du coeur</t>
  </si>
  <si>
    <t>Tasse Zouba fleur</t>
  </si>
  <si>
    <t>Verre olive</t>
  </si>
  <si>
    <t xml:space="preserve">Bougie sidi bou solo Pf </t>
  </si>
  <si>
    <t>Mug violet</t>
  </si>
  <si>
    <t>toupie offerte</t>
  </si>
  <si>
    <t xml:space="preserve">Bonbonniére </t>
  </si>
  <si>
    <t>Carafe DIdon</t>
  </si>
  <si>
    <t>Verre pf</t>
  </si>
  <si>
    <t>Trio bougie sidi bou</t>
  </si>
  <si>
    <t xml:space="preserve">Vide poche coeur </t>
  </si>
  <si>
    <t>Vide poche carré</t>
  </si>
  <si>
    <t>Porte clé offert</t>
  </si>
  <si>
    <t>Carafe Champagne</t>
  </si>
  <si>
    <t>Vase Samak</t>
  </si>
  <si>
    <t>Bougie sougui</t>
  </si>
  <si>
    <t>Bougie rose</t>
  </si>
  <si>
    <t>PLATEAU 20*20</t>
  </si>
  <si>
    <t>Carafe Bled transparente</t>
  </si>
  <si>
    <t>Verre transaprent GF</t>
  </si>
  <si>
    <t xml:space="preserve">Porte clé </t>
  </si>
  <si>
    <t>Tasse + ST IRR</t>
  </si>
  <si>
    <t>Sous tasse bois d'olivier</t>
  </si>
  <si>
    <t>Grand couffin + fouta</t>
  </si>
  <si>
    <t>Mug rAKU gRIS</t>
  </si>
  <si>
    <t>Fouta OFFERTE</t>
  </si>
  <si>
    <t>Sous plat Andalous</t>
  </si>
  <si>
    <t xml:space="preserve">Carafe Tanit Bleue </t>
  </si>
  <si>
    <t>Fouita offerte</t>
  </si>
  <si>
    <t>Toupie offert</t>
  </si>
  <si>
    <t>bonbonniére miel</t>
  </si>
  <si>
    <t>Pack Photophore sidi bou</t>
  </si>
  <si>
    <t>Trio bougie offert</t>
  </si>
  <si>
    <t xml:space="preserve">Tasse + planche </t>
  </si>
  <si>
    <t xml:space="preserve">Tanit Céramique </t>
  </si>
  <si>
    <t>Verre Miel Gf</t>
  </si>
  <si>
    <t>Vide poche Carré</t>
  </si>
  <si>
    <t>Moia béton pf</t>
  </si>
  <si>
    <t>Broc eau BLEU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</si>
</sst>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d/m/yyyy"/>
    <numFmt numFmtId="170" formatCode="yyyy\-mm\-dd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4"/>
      <color theme="1"/>
      <name val="Calibri"/>
      <charset val="134"/>
    </font>
  </fonts>
  <fills count="8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68" fontId="2" fillId="0" borderId="0" xfId="0" applyNumberFormat="1" applyFont="1"/>
    <xf numFmtId="0" fontId="0" fillId="0" borderId="0" xfId="0" applyFont="1"/>
    <xf numFmtId="14" fontId="0" fillId="0" borderId="0" xfId="0" applyNumberFormat="1" applyFont="1" applyAlignment="1"/>
    <xf numFmtId="0" fontId="0" fillId="3" borderId="0" xfId="0" applyFont="1" applyFill="1" applyAlignment="1"/>
    <xf numFmtId="0" fontId="0" fillId="3" borderId="0" xfId="0" applyFont="1" applyFill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3" borderId="0" xfId="0" applyFont="1" applyFill="1" applyAlignment="1"/>
    <xf numFmtId="0" fontId="2" fillId="3" borderId="0" xfId="0" applyFont="1" applyFill="1" applyAlignment="1">
      <alignment horizontal="right"/>
    </xf>
    <xf numFmtId="0" fontId="0" fillId="4" borderId="0" xfId="0" applyFont="1" applyFill="1" applyAlignment="1"/>
    <xf numFmtId="0" fontId="0" fillId="4" borderId="0" xfId="0" applyFont="1" applyFill="1"/>
    <xf numFmtId="0" fontId="2" fillId="4" borderId="0" xfId="0" applyFont="1" applyFill="1" applyAlignment="1">
      <alignment horizontal="right"/>
    </xf>
    <xf numFmtId="0" fontId="2" fillId="4" borderId="0" xfId="0" applyFont="1" applyFill="1" applyAlignment="1"/>
    <xf numFmtId="0" fontId="0" fillId="5" borderId="0" xfId="0" applyFont="1" applyFill="1" applyAlignment="1"/>
    <xf numFmtId="0" fontId="0" fillId="5" borderId="0" xfId="0" applyFont="1" applyFill="1"/>
    <xf numFmtId="0" fontId="2" fillId="5" borderId="0" xfId="0" applyFont="1" applyFill="1" applyAlignment="1">
      <alignment horizontal="right"/>
    </xf>
    <xf numFmtId="0" fontId="2" fillId="5" borderId="0" xfId="0" applyFont="1" applyFill="1" applyAlignment="1"/>
    <xf numFmtId="0" fontId="0" fillId="6" borderId="0" xfId="0" applyFont="1" applyFill="1"/>
    <xf numFmtId="0" fontId="0" fillId="7" borderId="0" xfId="0" applyFont="1" applyFill="1" applyAlignment="1"/>
    <xf numFmtId="0" fontId="0" fillId="7" borderId="0" xfId="0" applyFont="1" applyFill="1"/>
    <xf numFmtId="0" fontId="2" fillId="7" borderId="0" xfId="0" applyFont="1" applyFill="1" applyAlignment="1">
      <alignment horizontal="right"/>
    </xf>
    <xf numFmtId="0" fontId="2" fillId="7" borderId="0" xfId="0" applyFont="1" applyFill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/>
    <xf numFmtId="170" fontId="2" fillId="0" borderId="0" xfId="0" applyNumberFormat="1" applyFont="1"/>
    <xf numFmtId="170" fontId="2" fillId="0" borderId="0" xfId="0" applyNumberFormat="1" applyFont="1" applyAlignment="1"/>
    <xf numFmtId="170" fontId="0" fillId="0" borderId="0" xfId="0" applyNumberFormat="1" applyFont="1" applyAlignment="1"/>
    <xf numFmtId="170" fontId="0" fillId="3" borderId="0" xfId="0" applyNumberFormat="1" applyFont="1" applyFill="1" applyAlignment="1"/>
    <xf numFmtId="170" fontId="0" fillId="4" borderId="0" xfId="0" applyNumberFormat="1" applyFont="1" applyFill="1" applyAlignment="1"/>
    <xf numFmtId="170" fontId="0" fillId="5" borderId="0" xfId="0" applyNumberFormat="1" applyFont="1" applyFill="1" applyAlignment="1"/>
    <xf numFmtId="170" fontId="0" fillId="7" borderId="0" xfId="0" applyNumberFormat="1" applyFont="1" applyFill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E11" sqref="E11"/>
    </sheetView>
  </sheetViews>
  <sheetFormatPr baseColWidth="10" defaultColWidth="14.42578125" defaultRowHeight="15" customHeight="1"/>
  <cols>
    <col min="1" max="1" width="32.5703125" customWidth="1"/>
    <col min="2" max="2" width="22" customWidth="1"/>
    <col min="3" max="3" width="9.140625" customWidth="1"/>
    <col min="4" max="5" width="22" customWidth="1"/>
    <col min="6" max="26" width="9.140625" customWidth="1"/>
  </cols>
  <sheetData>
    <row r="1" spans="1:5" ht="18.75">
      <c r="A1" s="26" t="s">
        <v>0</v>
      </c>
      <c r="B1" s="27"/>
      <c r="C1" s="27"/>
      <c r="D1" s="27"/>
    </row>
    <row r="3" spans="1:5">
      <c r="A3" s="25" t="s">
        <v>1</v>
      </c>
      <c r="B3" s="4">
        <f>SUM(Sheet1!F2:F1000)</f>
        <v>26858.999999997901</v>
      </c>
    </row>
    <row r="4" spans="1:5">
      <c r="A4" s="25" t="s">
        <v>2</v>
      </c>
      <c r="B4" s="4">
        <f>SUM(Sheet1!G2:G1000)</f>
        <v>2321.00000000205</v>
      </c>
    </row>
    <row r="5" spans="1:5">
      <c r="A5" s="25" t="s">
        <v>3</v>
      </c>
      <c r="B5" s="4">
        <f>COUNTA(Sheet1!B2:B1000)</f>
        <v>516</v>
      </c>
    </row>
    <row r="8" spans="1:5">
      <c r="A8" s="25" t="s">
        <v>4</v>
      </c>
      <c r="D8" s="4" t="s">
        <v>5</v>
      </c>
    </row>
    <row r="9" spans="1:5">
      <c r="A9" s="25" t="s">
        <v>6</v>
      </c>
      <c r="B9" s="25" t="s">
        <v>7</v>
      </c>
      <c r="D9" s="25" t="s">
        <v>8</v>
      </c>
      <c r="E9" s="25" t="s">
        <v>7</v>
      </c>
    </row>
    <row r="10" spans="1:5">
      <c r="A10" s="4" t="s">
        <v>9</v>
      </c>
      <c r="B10" s="4">
        <f>SUMIF(Sheet1!H2:H1000,"Espèces",Sheet1!F2:F1000)</f>
        <v>15725.999999997701</v>
      </c>
      <c r="D10" s="3"/>
    </row>
    <row r="11" spans="1:5">
      <c r="A11" s="4" t="s">
        <v>10</v>
      </c>
      <c r="B11" s="4">
        <f>SUMIF(Sheet1!H2:H1000,"Carte",Sheet1!F2:F1000)</f>
        <v>11133.0000000002</v>
      </c>
      <c r="D11" s="3">
        <v>45882</v>
      </c>
      <c r="E11" s="4">
        <f>SUMIF(Sheet1!$A$2:$A$1000,D11,Sheet1!$F$2:$F$1000)</f>
        <v>975.00000000039995</v>
      </c>
    </row>
    <row r="12" spans="1:5">
      <c r="D12" s="3">
        <v>45883</v>
      </c>
      <c r="E12" s="4">
        <f>SUMIF(Sheet1!$A$2:$A$1000,D12,Sheet1!$F$2:$F$1000)</f>
        <v>864.00000000010004</v>
      </c>
    </row>
    <row r="13" spans="1:5">
      <c r="D13" s="3">
        <v>45884</v>
      </c>
      <c r="E13" s="4">
        <f>SUMIF(Sheet1!$A$2:$A$1000,D13,Sheet1!$F$2:$F$1000)</f>
        <v>565</v>
      </c>
    </row>
    <row r="14" spans="1:5">
      <c r="D14" s="3">
        <v>45885</v>
      </c>
      <c r="E14" s="4">
        <f>SUMIF(Sheet1!$A$2:$A$1000,D14,Sheet1!$F$2:$F$1000)</f>
        <v>1910.00000000005</v>
      </c>
    </row>
    <row r="15" spans="1:5">
      <c r="D15" s="3">
        <v>45886</v>
      </c>
      <c r="E15" s="4">
        <f>SUMIF(Sheet1!$A$2:$A$1000,D15,Sheet1!$F$2:$F$1000)</f>
        <v>274.99999999997999</v>
      </c>
    </row>
    <row r="16" spans="1:5">
      <c r="D16" s="3">
        <v>45887</v>
      </c>
      <c r="E16" s="4">
        <f>SUMIF(Sheet1!$A$2:$A$1000,D16,Sheet1!$F$2:$F$1000)</f>
        <v>565.00000000002001</v>
      </c>
    </row>
    <row r="17" spans="4:5">
      <c r="D17" s="3">
        <v>45888</v>
      </c>
      <c r="E17" s="4">
        <f>SUMIF(Sheet1!$A$2:$A$1000,D17,Sheet1!$F$2:$F$1000)</f>
        <v>505.00000000005002</v>
      </c>
    </row>
    <row r="18" spans="4:5">
      <c r="D18" s="3">
        <v>45889</v>
      </c>
      <c r="E18" s="4">
        <f>SUMIF(Sheet1!$A$2:$A$1000,D18,Sheet1!$F$2:$F$1000)</f>
        <v>535</v>
      </c>
    </row>
    <row r="19" spans="4:5">
      <c r="D19" s="3">
        <v>45890</v>
      </c>
      <c r="E19" s="4">
        <f>SUMIF(Sheet1!$A$2:$A$1000,D19,Sheet1!$F$2:$F$1000)</f>
        <v>805.00000000010095</v>
      </c>
    </row>
    <row r="20" spans="4:5">
      <c r="D20" s="3">
        <v>45891</v>
      </c>
      <c r="E20" s="4">
        <f>SUMIF(Sheet1!$A$2:$A$1000,D20,Sheet1!$F$2:$F$1000)</f>
        <v>435.00000000099999</v>
      </c>
    </row>
    <row r="21" spans="4:5" ht="15.75" customHeight="1">
      <c r="D21" s="3">
        <v>45892</v>
      </c>
      <c r="E21" s="4">
        <f>SUMIF(Sheet1!$A$2:$A$1000,D21,Sheet1!$F$2:$F$1000)</f>
        <v>290</v>
      </c>
    </row>
    <row r="22" spans="4:5" ht="15.75" customHeight="1">
      <c r="D22" s="3">
        <v>45893</v>
      </c>
      <c r="E22" s="4">
        <f>SUMIF(Sheet1!$A$2:$A$1000,D22,Sheet1!$F$2:$F$1000)</f>
        <v>563</v>
      </c>
    </row>
    <row r="23" spans="4:5" ht="15.75" customHeight="1">
      <c r="D23" s="3">
        <v>45894</v>
      </c>
      <c r="E23" s="4">
        <f>SUMIF(Sheet1!$A$2:$A$1000,D23,Sheet1!$F$2:$F$1000)</f>
        <v>390</v>
      </c>
    </row>
    <row r="24" spans="4:5" ht="15.75" customHeight="1">
      <c r="D24" s="3">
        <v>45895</v>
      </c>
      <c r="E24" s="4">
        <f>SUMIF(Sheet1!$A$2:$A$1000,D24,Sheet1!$F$2:$F$1000)</f>
        <v>365</v>
      </c>
    </row>
    <row r="25" spans="4:5" ht="15.75" customHeight="1">
      <c r="D25" s="3">
        <v>45896</v>
      </c>
      <c r="E25" s="4">
        <f>SUMIF(Sheet1!$A$2:$A$1000,D25,Sheet1!$F$2:$F$1000)</f>
        <v>20</v>
      </c>
    </row>
    <row r="26" spans="4:5" ht="15.75" customHeight="1">
      <c r="D26" s="3">
        <v>45897</v>
      </c>
      <c r="E26" s="4">
        <f>SUMIF(Sheet1!$A$2:$A$1000,D26,Sheet1!$F$2:$F$1000)</f>
        <v>1683</v>
      </c>
    </row>
    <row r="27" spans="4:5" ht="15.75" customHeight="1">
      <c r="D27" s="3">
        <v>45898</v>
      </c>
      <c r="E27" s="4">
        <f>SUMIF(Sheet1!$A$2:$A$1000,D27,Sheet1!$F$2:$F$1000)</f>
        <v>975</v>
      </c>
    </row>
    <row r="28" spans="4:5" ht="15.75" customHeight="1">
      <c r="D28" s="3">
        <v>45899</v>
      </c>
      <c r="E28" s="4">
        <f>SUMIF(Sheet1!$A$2:$A$1000,D28,Sheet1!$F$2:$F$1000)</f>
        <v>380</v>
      </c>
    </row>
    <row r="29" spans="4:5" ht="15.75" customHeight="1">
      <c r="D29" s="3">
        <v>45900</v>
      </c>
      <c r="E29" s="4">
        <f>SUMIF(Sheet1!$A$2:$A$1000,D29,Sheet1!$F$2:$F$1000)</f>
        <v>255</v>
      </c>
    </row>
    <row r="30" spans="4:5" ht="15.75" customHeight="1">
      <c r="D30" s="3">
        <v>45901</v>
      </c>
      <c r="E30" s="4">
        <f>SUMIF(Sheet1!$A$2:$A$1000,D30,Sheet1!$F$2:$F$1000)</f>
        <v>335</v>
      </c>
    </row>
    <row r="31" spans="4:5" ht="15.75" customHeight="1">
      <c r="D31" s="3">
        <v>45902</v>
      </c>
      <c r="E31" s="4">
        <f>SUMIF(Sheet1!$A$2:$A$1000,D31,Sheet1!$F$2:$F$1000)</f>
        <v>440</v>
      </c>
    </row>
    <row r="32" spans="4:5" ht="15.75" customHeight="1">
      <c r="D32" s="3">
        <v>45903</v>
      </c>
      <c r="E32" s="4">
        <f>SUMIF(Sheet1!$A$2:$A$1000,D32,Sheet1!$F$2:$F$1000)</f>
        <v>120</v>
      </c>
    </row>
    <row r="33" spans="4:5" ht="15.75" customHeight="1">
      <c r="D33" s="3">
        <v>45904</v>
      </c>
      <c r="E33" s="4">
        <f>SUMIF(Sheet1!$A$2:$A$1000,D33,Sheet1!$F$2:$F$1000)</f>
        <v>555</v>
      </c>
    </row>
    <row r="34" spans="4:5" ht="15.75" customHeight="1">
      <c r="D34" s="3">
        <v>45905</v>
      </c>
      <c r="E34" s="4">
        <f>SUMIF(Sheet1!$A$2:$A$1000,D34,Sheet1!$F$2:$F$1000)</f>
        <v>320</v>
      </c>
    </row>
    <row r="35" spans="4:5" ht="15.75" customHeight="1">
      <c r="D35" s="3">
        <v>45906</v>
      </c>
      <c r="E35" s="4">
        <f>SUMIF(Sheet1!$A$2:$A$1000,D35,Sheet1!$F$2:$F$1000)</f>
        <v>630</v>
      </c>
    </row>
    <row r="36" spans="4:5" ht="15.75" customHeight="1">
      <c r="D36" s="3">
        <v>45907</v>
      </c>
      <c r="E36" s="4">
        <f>SUMIF(Sheet1!$A$2:$A$1000,D36,Sheet1!$F$2:$F$1000)</f>
        <v>1275</v>
      </c>
    </row>
    <row r="37" spans="4:5" ht="15.75" customHeight="1">
      <c r="D37" s="3">
        <v>45908</v>
      </c>
      <c r="E37" s="4">
        <f>SUMIF(Sheet1!$A$2:$A$1000,D37,Sheet1!$F$2:$F$1000)</f>
        <v>426</v>
      </c>
    </row>
    <row r="38" spans="4:5" ht="15.75" customHeight="1">
      <c r="D38" s="3">
        <v>45909</v>
      </c>
      <c r="E38" s="4">
        <f>SUMIF(Sheet1!$A$2:$A$1000,D38,Sheet1!$F$2:$F$1000)</f>
        <v>530</v>
      </c>
    </row>
    <row r="39" spans="4:5" ht="15.75" customHeight="1">
      <c r="D39" s="3">
        <v>45910</v>
      </c>
      <c r="E39" s="4">
        <f>SUMIF(Sheet1!$A$2:$A$1000,D39,Sheet1!$F$2:$F$1000)</f>
        <v>100</v>
      </c>
    </row>
    <row r="40" spans="4:5" ht="15.75" customHeight="1">
      <c r="D40" s="3">
        <v>45911</v>
      </c>
      <c r="E40" s="4">
        <f>SUMIF(Sheet1!$A$2:$A$1000,D40,Sheet1!$F$2:$F$1000)</f>
        <v>495</v>
      </c>
    </row>
    <row r="41" spans="4:5" ht="15.75" customHeight="1">
      <c r="D41" s="3">
        <v>45912</v>
      </c>
      <c r="E41" s="4">
        <f>SUMIF(Sheet1!$A$2:$A$1000,D41,Sheet1!$F$2:$F$1000)</f>
        <v>120</v>
      </c>
    </row>
    <row r="42" spans="4:5" ht="15.75" customHeight="1">
      <c r="D42" s="3">
        <v>45913</v>
      </c>
      <c r="E42" s="4">
        <f>SUMIF(Sheet1!$A$2:$A$1000,D42,Sheet1!$F$2:$F$1000)</f>
        <v>540</v>
      </c>
    </row>
    <row r="43" spans="4:5" ht="15.75" customHeight="1">
      <c r="D43" s="3">
        <v>45914</v>
      </c>
      <c r="E43" s="4">
        <f>SUMIF(Sheet1!$A$2:$A$1000,D43,Sheet1!$F$2:$F$1000)</f>
        <v>520</v>
      </c>
    </row>
    <row r="44" spans="4:5" ht="15.75" customHeight="1">
      <c r="D44" s="3">
        <v>45915</v>
      </c>
      <c r="E44" s="4">
        <f>SUMIF(Sheet1!$A$2:$A$1000,D44,Sheet1!$F$2:$F$1000)</f>
        <v>200</v>
      </c>
    </row>
    <row r="45" spans="4:5" ht="15.75" customHeight="1">
      <c r="D45" s="3">
        <v>45916</v>
      </c>
      <c r="E45" s="4">
        <f>SUMIF(Sheet1!$A$2:$A$1000,D45,Sheet1!$F$2:$F$1000)</f>
        <v>40</v>
      </c>
    </row>
    <row r="46" spans="4:5" ht="15.75" customHeight="1">
      <c r="D46" s="3">
        <v>45917</v>
      </c>
      <c r="E46" s="4">
        <f>SUMIF(Sheet1!$A$2:$A$1000,D46,Sheet1!$F$2:$F$1000)</f>
        <v>225</v>
      </c>
    </row>
    <row r="47" spans="4:5" ht="15.75" customHeight="1">
      <c r="D47" s="3">
        <v>45918</v>
      </c>
      <c r="E47" s="4">
        <f>SUMIF(Sheet1!$A$2:$A$1000,D47,Sheet1!$F$2:$F$1000)</f>
        <v>1502.999999996</v>
      </c>
    </row>
    <row r="48" spans="4:5" ht="15.75" customHeight="1">
      <c r="D48" s="3">
        <v>45919</v>
      </c>
      <c r="E48" s="4">
        <f>SUMIF(Sheet1!$A$2:$A$1000,D48,Sheet1!$F$2:$F$1000)</f>
        <v>380</v>
      </c>
    </row>
    <row r="49" spans="4:5" ht="15.75" customHeight="1">
      <c r="D49" s="3">
        <v>45920</v>
      </c>
      <c r="E49" s="4">
        <f>SUMIF(Sheet1!$A$2:$A$1000,D49,Sheet1!$F$2:$F$1000)</f>
        <v>250</v>
      </c>
    </row>
    <row r="50" spans="4:5" ht="15.75" customHeight="1">
      <c r="D50" s="3">
        <v>45921</v>
      </c>
      <c r="E50" s="4">
        <f>SUMIF(Sheet1!$A$2:$A$1000,D50,Sheet1!$F$2:$F$1000)</f>
        <v>175</v>
      </c>
    </row>
    <row r="51" spans="4:5" ht="15.75" customHeight="1">
      <c r="D51" s="3">
        <v>45922</v>
      </c>
      <c r="E51" s="4">
        <f>SUMIF(Sheet1!$A$2:$A$1000,D51,Sheet1!$F$2:$F$1000)</f>
        <v>215</v>
      </c>
    </row>
    <row r="52" spans="4:5" ht="15.75" customHeight="1">
      <c r="D52" s="3">
        <v>45923</v>
      </c>
      <c r="E52" s="4">
        <f>SUMIF(Sheet1!$A$2:$A$1000,D52,Sheet1!$F$2:$F$1000)</f>
        <v>50</v>
      </c>
    </row>
    <row r="53" spans="4:5" ht="15.75" customHeight="1">
      <c r="D53" s="3">
        <v>45924</v>
      </c>
      <c r="E53" s="4">
        <f>SUMIF(Sheet1!$A$2:$A$1000,D53,Sheet1!$F$2:$F$1000)</f>
        <v>730</v>
      </c>
    </row>
    <row r="54" spans="4:5" ht="15.75" customHeight="1">
      <c r="D54" s="3">
        <v>45925</v>
      </c>
      <c r="E54" s="4">
        <f>SUMIF(Sheet1!$A$2:$A$1000,D54,Sheet1!$F$2:$F$1000)</f>
        <v>180</v>
      </c>
    </row>
    <row r="55" spans="4:5" ht="15.75" customHeight="1">
      <c r="D55" s="3">
        <v>45926</v>
      </c>
      <c r="E55" s="4">
        <f>SUMIF(Sheet1!$A$2:$A$1000,D55,Sheet1!$F$2:$F$1000)</f>
        <v>270</v>
      </c>
    </row>
    <row r="56" spans="4:5" ht="15.75" customHeight="1">
      <c r="D56" s="3">
        <v>45927</v>
      </c>
      <c r="E56" s="4">
        <f>SUMIF(Sheet1!$A$2:$A$1000,D56,Sheet1!$F$2:$F$1000)</f>
        <v>808</v>
      </c>
    </row>
    <row r="57" spans="4:5" ht="15.75" customHeight="1">
      <c r="D57" s="3">
        <v>45928</v>
      </c>
      <c r="E57" s="4">
        <f>SUMIF(Sheet1!$A$2:$A$1000,D57,Sheet1!$F$2:$F$1000)</f>
        <v>470</v>
      </c>
    </row>
    <row r="58" spans="4:5" ht="15.75" customHeight="1">
      <c r="D58" s="3">
        <v>45929</v>
      </c>
      <c r="E58" s="4">
        <f>SUMIF(Sheet1!$A$2:$A$1000,D58,Sheet1!$F$2:$F$1000)</f>
        <v>120</v>
      </c>
    </row>
    <row r="59" spans="4:5" ht="15.75" customHeight="1">
      <c r="D59" s="3">
        <v>45930</v>
      </c>
      <c r="E59" s="4">
        <f>SUMIF(Sheet1!$A$2:$A$1000,D59,Sheet1!$F$2:$F$1000)</f>
        <v>675</v>
      </c>
    </row>
    <row r="60" spans="4:5" ht="15.75" customHeight="1">
      <c r="D60" s="3">
        <v>45931</v>
      </c>
      <c r="E60" s="4">
        <f>SUMIF(Sheet1!$A$2:$A$1000,D60,Sheet1!$F$2:$F$1000)</f>
        <v>15</v>
      </c>
    </row>
    <row r="61" spans="4:5" ht="15.75" customHeight="1">
      <c r="D61" s="5">
        <v>45932</v>
      </c>
      <c r="E61" s="4">
        <f>SUMIF(Sheet1!$A$2:$A$1000,D61,Sheet1!$F$2:$F$1000)</f>
        <v>965</v>
      </c>
    </row>
    <row r="62" spans="4:5" ht="15.75" customHeight="1">
      <c r="D62" s="5">
        <v>45933</v>
      </c>
      <c r="E62" s="4">
        <f>SUMIF(Sheet1!$A$2:$A$1000,D62,Sheet1!$F$2:$F$1000)</f>
        <v>827.00000000025</v>
      </c>
    </row>
    <row r="63" spans="4:5" ht="15.75" customHeight="1"/>
    <row r="64" spans="4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A2" sqref="A2:A517"/>
    </sheetView>
  </sheetViews>
  <sheetFormatPr baseColWidth="10" defaultColWidth="14.42578125" defaultRowHeight="15" customHeight="1"/>
  <cols>
    <col min="1" max="1" width="11.42578125" customWidth="1"/>
    <col min="2" max="2" width="51.28515625" customWidth="1"/>
    <col min="3" max="3" width="9.42578125" customWidth="1"/>
    <col min="4" max="4" width="17.7109375" customWidth="1"/>
    <col min="5" max="5" width="14" customWidth="1"/>
    <col min="6" max="6" width="19.28515625" customWidth="1"/>
    <col min="7" max="7" width="23" customWidth="1"/>
    <col min="8" max="8" width="35.7109375" customWidth="1"/>
    <col min="9" max="9" width="25.28515625" customWidth="1"/>
    <col min="10" max="10" width="46.5703125" customWidth="1"/>
    <col min="11" max="26" width="9.140625" customWidth="1"/>
  </cols>
  <sheetData>
    <row r="1" spans="1:10">
      <c r="A1" s="1" t="s">
        <v>8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2" t="s">
        <v>16</v>
      </c>
      <c r="H1" s="1" t="s">
        <v>17</v>
      </c>
      <c r="I1" s="1" t="s">
        <v>18</v>
      </c>
      <c r="J1" s="1" t="s">
        <v>19</v>
      </c>
    </row>
    <row r="2" spans="1:10">
      <c r="A2" s="28">
        <v>45911</v>
      </c>
      <c r="B2" s="4" t="s">
        <v>20</v>
      </c>
      <c r="C2" s="4">
        <v>1</v>
      </c>
      <c r="D2" s="4">
        <v>70</v>
      </c>
      <c r="F2" s="4">
        <f t="shared" ref="F2:F101" si="0">C2*D2*(1-E2/100)</f>
        <v>70</v>
      </c>
      <c r="G2" s="4">
        <f t="shared" ref="G2:G7" si="1">C2*D2*(E2/100)</f>
        <v>0</v>
      </c>
      <c r="H2" s="4" t="s">
        <v>9</v>
      </c>
    </row>
    <row r="3" spans="1:10">
      <c r="A3" s="28">
        <v>45911</v>
      </c>
      <c r="B3" s="4" t="s">
        <v>20</v>
      </c>
      <c r="C3" s="4">
        <v>1</v>
      </c>
      <c r="D3" s="4">
        <v>70</v>
      </c>
      <c r="F3" s="4">
        <f t="shared" si="0"/>
        <v>70</v>
      </c>
      <c r="G3" s="4">
        <f t="shared" si="1"/>
        <v>0</v>
      </c>
      <c r="H3" s="4" t="s">
        <v>21</v>
      </c>
    </row>
    <row r="4" spans="1:10">
      <c r="A4" s="28">
        <v>45911</v>
      </c>
      <c r="B4" s="4" t="s">
        <v>22</v>
      </c>
      <c r="C4" s="4">
        <v>1</v>
      </c>
      <c r="D4" s="4">
        <v>55</v>
      </c>
      <c r="F4" s="4">
        <f t="shared" si="0"/>
        <v>55</v>
      </c>
      <c r="G4" s="4">
        <f t="shared" si="1"/>
        <v>0</v>
      </c>
      <c r="H4" s="4" t="s">
        <v>21</v>
      </c>
    </row>
    <row r="5" spans="1:10">
      <c r="A5" s="28">
        <v>45911</v>
      </c>
      <c r="B5" s="4" t="s">
        <v>23</v>
      </c>
      <c r="C5" s="4">
        <v>1</v>
      </c>
      <c r="D5" s="4">
        <v>70</v>
      </c>
      <c r="F5" s="4">
        <f t="shared" si="0"/>
        <v>70</v>
      </c>
      <c r="G5" s="4">
        <f t="shared" si="1"/>
        <v>0</v>
      </c>
      <c r="H5" s="4" t="s">
        <v>9</v>
      </c>
    </row>
    <row r="6" spans="1:10">
      <c r="A6" s="28">
        <v>45911</v>
      </c>
      <c r="B6" t="s">
        <v>24</v>
      </c>
      <c r="C6" s="4">
        <v>1</v>
      </c>
      <c r="D6" s="4">
        <v>10</v>
      </c>
      <c r="F6" s="4">
        <f t="shared" si="0"/>
        <v>10</v>
      </c>
      <c r="G6" s="4">
        <f t="shared" si="1"/>
        <v>0</v>
      </c>
      <c r="H6" s="4" t="s">
        <v>9</v>
      </c>
    </row>
    <row r="7" spans="1:10">
      <c r="A7" s="29">
        <v>45911</v>
      </c>
      <c r="B7" t="s">
        <v>25</v>
      </c>
      <c r="C7">
        <v>1</v>
      </c>
      <c r="D7">
        <v>10</v>
      </c>
      <c r="F7" s="4">
        <f t="shared" si="0"/>
        <v>10</v>
      </c>
      <c r="G7" s="4">
        <f t="shared" si="1"/>
        <v>0</v>
      </c>
      <c r="H7" s="4" t="s">
        <v>9</v>
      </c>
    </row>
    <row r="8" spans="1:10">
      <c r="A8" s="29">
        <v>45911</v>
      </c>
      <c r="B8" t="s">
        <v>26</v>
      </c>
      <c r="C8">
        <v>1</v>
      </c>
      <c r="D8">
        <v>110</v>
      </c>
      <c r="E8">
        <f>10/110*100</f>
        <v>9.0909090909090899</v>
      </c>
      <c r="F8" s="4">
        <f t="shared" si="0"/>
        <v>100</v>
      </c>
      <c r="G8">
        <v>10</v>
      </c>
      <c r="H8" t="s">
        <v>9</v>
      </c>
    </row>
    <row r="9" spans="1:10">
      <c r="A9" s="29">
        <v>45911</v>
      </c>
      <c r="B9" t="s">
        <v>22</v>
      </c>
      <c r="C9">
        <v>1</v>
      </c>
      <c r="D9">
        <v>55</v>
      </c>
      <c r="F9" s="4">
        <f t="shared" si="0"/>
        <v>55</v>
      </c>
      <c r="G9" s="4">
        <f t="shared" ref="G9:G17" si="2">C9*D9*(E9/100)</f>
        <v>0</v>
      </c>
      <c r="H9" t="s">
        <v>9</v>
      </c>
    </row>
    <row r="10" spans="1:10">
      <c r="A10" s="29">
        <v>45911</v>
      </c>
      <c r="B10" t="s">
        <v>27</v>
      </c>
      <c r="C10">
        <v>1</v>
      </c>
      <c r="D10">
        <v>35</v>
      </c>
      <c r="F10" s="4">
        <f t="shared" si="0"/>
        <v>35</v>
      </c>
      <c r="G10" s="4">
        <f t="shared" si="2"/>
        <v>0</v>
      </c>
      <c r="H10" t="s">
        <v>9</v>
      </c>
    </row>
    <row r="11" spans="1:10">
      <c r="A11" s="29">
        <v>45911</v>
      </c>
      <c r="B11" t="s">
        <v>28</v>
      </c>
      <c r="C11">
        <v>1</v>
      </c>
      <c r="D11">
        <v>25</v>
      </c>
      <c r="E11">
        <v>20</v>
      </c>
      <c r="F11" s="4">
        <f t="shared" si="0"/>
        <v>20</v>
      </c>
      <c r="G11" s="4">
        <f t="shared" si="2"/>
        <v>5</v>
      </c>
      <c r="H11" t="s">
        <v>9</v>
      </c>
    </row>
    <row r="12" spans="1:10">
      <c r="A12" s="30">
        <v>45912</v>
      </c>
      <c r="B12" t="s">
        <v>26</v>
      </c>
      <c r="C12">
        <v>1</v>
      </c>
      <c r="D12">
        <v>110</v>
      </c>
      <c r="F12" s="4">
        <f t="shared" si="0"/>
        <v>110</v>
      </c>
      <c r="G12" s="4">
        <f t="shared" si="2"/>
        <v>0</v>
      </c>
      <c r="H12" t="s">
        <v>21</v>
      </c>
    </row>
    <row r="13" spans="1:10">
      <c r="A13" s="30">
        <v>45912</v>
      </c>
      <c r="B13" t="s">
        <v>29</v>
      </c>
      <c r="C13">
        <v>1</v>
      </c>
      <c r="D13">
        <v>10</v>
      </c>
      <c r="F13" s="4">
        <f t="shared" si="0"/>
        <v>10</v>
      </c>
      <c r="G13" s="4">
        <f t="shared" si="2"/>
        <v>0</v>
      </c>
      <c r="H13" t="s">
        <v>21</v>
      </c>
    </row>
    <row r="14" spans="1:10">
      <c r="A14" s="30">
        <v>45913</v>
      </c>
      <c r="B14" t="s">
        <v>30</v>
      </c>
      <c r="C14">
        <v>1</v>
      </c>
      <c r="D14">
        <v>80</v>
      </c>
      <c r="F14" s="4">
        <f t="shared" si="0"/>
        <v>80</v>
      </c>
      <c r="G14" s="4">
        <f t="shared" si="2"/>
        <v>0</v>
      </c>
      <c r="H14" t="s">
        <v>21</v>
      </c>
    </row>
    <row r="15" spans="1:10">
      <c r="A15" s="30">
        <v>45913</v>
      </c>
      <c r="B15" t="s">
        <v>27</v>
      </c>
      <c r="C15">
        <v>3</v>
      </c>
      <c r="D15">
        <v>40</v>
      </c>
      <c r="F15" s="4">
        <f t="shared" si="0"/>
        <v>120</v>
      </c>
      <c r="G15" s="4">
        <f t="shared" si="2"/>
        <v>0</v>
      </c>
      <c r="H15" t="s">
        <v>21</v>
      </c>
    </row>
    <row r="16" spans="1:10">
      <c r="A16" s="30">
        <v>45913</v>
      </c>
      <c r="B16" t="s">
        <v>31</v>
      </c>
      <c r="C16">
        <v>1</v>
      </c>
      <c r="D16">
        <v>40</v>
      </c>
      <c r="F16" s="4">
        <f t="shared" si="0"/>
        <v>40</v>
      </c>
      <c r="G16" s="4">
        <f t="shared" si="2"/>
        <v>0</v>
      </c>
      <c r="H16" t="s">
        <v>21</v>
      </c>
    </row>
    <row r="17" spans="1:8">
      <c r="A17" s="30">
        <v>45913</v>
      </c>
      <c r="B17" t="s">
        <v>32</v>
      </c>
      <c r="C17">
        <v>2</v>
      </c>
      <c r="D17">
        <v>30</v>
      </c>
      <c r="F17" s="4">
        <f t="shared" si="0"/>
        <v>60</v>
      </c>
      <c r="G17" s="4">
        <f t="shared" si="2"/>
        <v>0</v>
      </c>
      <c r="H17" t="s">
        <v>21</v>
      </c>
    </row>
    <row r="18" spans="1:8">
      <c r="A18" s="30">
        <v>45913</v>
      </c>
      <c r="B18" t="s">
        <v>33</v>
      </c>
      <c r="C18">
        <v>1</v>
      </c>
      <c r="D18">
        <v>30</v>
      </c>
      <c r="E18">
        <f>10/30*100</f>
        <v>33.3333333333333</v>
      </c>
      <c r="F18" s="4">
        <f t="shared" si="0"/>
        <v>20</v>
      </c>
      <c r="G18">
        <v>10</v>
      </c>
      <c r="H18" t="s">
        <v>9</v>
      </c>
    </row>
    <row r="19" spans="1:8">
      <c r="A19" s="30">
        <v>45913</v>
      </c>
      <c r="B19" t="s">
        <v>29</v>
      </c>
      <c r="C19">
        <v>1</v>
      </c>
      <c r="D19">
        <v>10</v>
      </c>
      <c r="F19" s="4">
        <f t="shared" si="0"/>
        <v>10</v>
      </c>
      <c r="G19" s="4">
        <f t="shared" ref="G19:G22" si="3">C19*D19*(E19/100)</f>
        <v>0</v>
      </c>
      <c r="H19" t="s">
        <v>9</v>
      </c>
    </row>
    <row r="20" spans="1:8">
      <c r="A20" s="30">
        <v>45913</v>
      </c>
      <c r="B20" t="s">
        <v>34</v>
      </c>
      <c r="C20">
        <v>2</v>
      </c>
      <c r="D20">
        <v>50</v>
      </c>
      <c r="F20" s="4">
        <f t="shared" si="0"/>
        <v>100</v>
      </c>
      <c r="G20" s="4">
        <f t="shared" si="3"/>
        <v>0</v>
      </c>
      <c r="H20" t="s">
        <v>21</v>
      </c>
    </row>
    <row r="21" spans="1:8" ht="15.75" customHeight="1">
      <c r="A21" s="30">
        <v>45913</v>
      </c>
      <c r="B21" t="s">
        <v>35</v>
      </c>
      <c r="C21">
        <v>1</v>
      </c>
      <c r="D21">
        <v>20</v>
      </c>
      <c r="F21" s="4">
        <f t="shared" si="0"/>
        <v>20</v>
      </c>
      <c r="G21" s="4">
        <f t="shared" si="3"/>
        <v>0</v>
      </c>
      <c r="H21" t="s">
        <v>21</v>
      </c>
    </row>
    <row r="22" spans="1:8" ht="15.75" customHeight="1">
      <c r="A22" s="30">
        <v>45913</v>
      </c>
      <c r="B22" t="s">
        <v>29</v>
      </c>
      <c r="C22">
        <v>2</v>
      </c>
      <c r="D22">
        <v>10</v>
      </c>
      <c r="F22" s="4">
        <f t="shared" si="0"/>
        <v>20</v>
      </c>
      <c r="G22" s="4">
        <f t="shared" si="3"/>
        <v>0</v>
      </c>
      <c r="H22" t="s">
        <v>21</v>
      </c>
    </row>
    <row r="23" spans="1:8" ht="15.75" customHeight="1">
      <c r="A23" s="30">
        <v>45913</v>
      </c>
      <c r="B23" t="s">
        <v>30</v>
      </c>
      <c r="C23">
        <v>1</v>
      </c>
      <c r="D23">
        <v>70</v>
      </c>
      <c r="F23" s="4">
        <f t="shared" si="0"/>
        <v>70</v>
      </c>
      <c r="G23">
        <v>0</v>
      </c>
      <c r="H23" t="s">
        <v>9</v>
      </c>
    </row>
    <row r="24" spans="1:8" ht="15.75" customHeight="1">
      <c r="A24" s="30">
        <v>45914</v>
      </c>
      <c r="B24" t="s">
        <v>36</v>
      </c>
      <c r="C24">
        <v>1</v>
      </c>
      <c r="D24">
        <v>30</v>
      </c>
      <c r="F24" s="4">
        <f t="shared" si="0"/>
        <v>30</v>
      </c>
      <c r="G24" s="4">
        <f t="shared" ref="G24:G101" si="4">C24*D24*(E24/100)</f>
        <v>0</v>
      </c>
      <c r="H24" t="s">
        <v>9</v>
      </c>
    </row>
    <row r="25" spans="1:8" ht="15.75" customHeight="1">
      <c r="A25" s="30">
        <v>45914</v>
      </c>
      <c r="B25" t="s">
        <v>37</v>
      </c>
      <c r="C25">
        <v>1</v>
      </c>
      <c r="D25">
        <v>60</v>
      </c>
      <c r="E25">
        <f>5/60*100</f>
        <v>8.3333333333333304</v>
      </c>
      <c r="F25" s="4">
        <f t="shared" si="0"/>
        <v>55</v>
      </c>
      <c r="G25" s="4">
        <f t="shared" si="4"/>
        <v>5</v>
      </c>
      <c r="H25" t="s">
        <v>9</v>
      </c>
    </row>
    <row r="26" spans="1:8" ht="15.75" customHeight="1">
      <c r="A26" s="30">
        <v>45914</v>
      </c>
      <c r="B26" t="s">
        <v>38</v>
      </c>
      <c r="C26">
        <v>1</v>
      </c>
      <c r="D26">
        <v>25</v>
      </c>
      <c r="E26">
        <v>20</v>
      </c>
      <c r="F26" s="4">
        <f t="shared" si="0"/>
        <v>20</v>
      </c>
      <c r="G26" s="4">
        <f t="shared" si="4"/>
        <v>5</v>
      </c>
      <c r="H26" t="s">
        <v>21</v>
      </c>
    </row>
    <row r="27" spans="1:8" ht="15.75" customHeight="1">
      <c r="A27" s="30">
        <v>45914</v>
      </c>
      <c r="B27" t="s">
        <v>23</v>
      </c>
      <c r="C27">
        <v>1</v>
      </c>
      <c r="D27">
        <v>70</v>
      </c>
      <c r="F27" s="4">
        <f t="shared" si="0"/>
        <v>70</v>
      </c>
      <c r="G27" s="4">
        <f t="shared" si="4"/>
        <v>0</v>
      </c>
      <c r="H27" t="s">
        <v>9</v>
      </c>
    </row>
    <row r="28" spans="1:8" ht="15.75" customHeight="1">
      <c r="A28" s="30">
        <v>45914</v>
      </c>
      <c r="B28" t="s">
        <v>39</v>
      </c>
      <c r="C28">
        <v>1</v>
      </c>
      <c r="D28">
        <v>25</v>
      </c>
      <c r="F28" s="4">
        <f t="shared" si="0"/>
        <v>25</v>
      </c>
      <c r="G28" s="4">
        <f t="shared" si="4"/>
        <v>0</v>
      </c>
      <c r="H28" t="s">
        <v>9</v>
      </c>
    </row>
    <row r="29" spans="1:8" ht="15.75" customHeight="1">
      <c r="A29" s="30">
        <v>45914</v>
      </c>
      <c r="B29" t="s">
        <v>40</v>
      </c>
      <c r="C29">
        <v>1</v>
      </c>
      <c r="D29">
        <v>20</v>
      </c>
      <c r="E29">
        <v>25</v>
      </c>
      <c r="F29" s="4">
        <f t="shared" si="0"/>
        <v>15</v>
      </c>
      <c r="G29" s="4">
        <f t="shared" si="4"/>
        <v>5</v>
      </c>
      <c r="H29" t="s">
        <v>9</v>
      </c>
    </row>
    <row r="30" spans="1:8" ht="15.75" customHeight="1">
      <c r="A30" s="30">
        <v>45914</v>
      </c>
      <c r="B30" t="s">
        <v>24</v>
      </c>
      <c r="C30">
        <v>2</v>
      </c>
      <c r="D30">
        <v>10</v>
      </c>
      <c r="F30" s="4">
        <f t="shared" si="0"/>
        <v>20</v>
      </c>
      <c r="G30" s="4">
        <f t="shared" si="4"/>
        <v>0</v>
      </c>
      <c r="H30" t="s">
        <v>9</v>
      </c>
    </row>
    <row r="31" spans="1:8" ht="15.75" customHeight="1">
      <c r="A31" s="30">
        <v>45914</v>
      </c>
      <c r="B31" t="s">
        <v>28</v>
      </c>
      <c r="C31">
        <v>1</v>
      </c>
      <c r="D31">
        <v>20</v>
      </c>
      <c r="F31" s="4">
        <f t="shared" si="0"/>
        <v>20</v>
      </c>
      <c r="G31" s="4">
        <f t="shared" si="4"/>
        <v>0</v>
      </c>
      <c r="H31" t="s">
        <v>21</v>
      </c>
    </row>
    <row r="32" spans="1:8" ht="15.75" customHeight="1">
      <c r="A32" s="30">
        <v>45914</v>
      </c>
      <c r="B32" t="s">
        <v>41</v>
      </c>
      <c r="C32">
        <v>2</v>
      </c>
      <c r="D32">
        <v>10</v>
      </c>
      <c r="F32" s="4">
        <f t="shared" si="0"/>
        <v>20</v>
      </c>
      <c r="G32" s="4">
        <f t="shared" si="4"/>
        <v>0</v>
      </c>
      <c r="H32" t="s">
        <v>21</v>
      </c>
    </row>
    <row r="33" spans="1:10" ht="15.75" customHeight="1">
      <c r="A33" s="30">
        <v>45914</v>
      </c>
      <c r="B33" t="s">
        <v>42</v>
      </c>
      <c r="C33">
        <v>1</v>
      </c>
      <c r="D33">
        <v>100</v>
      </c>
      <c r="F33" s="4">
        <f t="shared" si="0"/>
        <v>100</v>
      </c>
      <c r="G33" s="4">
        <f t="shared" si="4"/>
        <v>0</v>
      </c>
      <c r="H33" t="s">
        <v>21</v>
      </c>
    </row>
    <row r="34" spans="1:10" ht="15.75" customHeight="1">
      <c r="A34" s="30">
        <v>45914</v>
      </c>
      <c r="B34" t="s">
        <v>43</v>
      </c>
      <c r="C34">
        <v>1</v>
      </c>
      <c r="D34">
        <v>25</v>
      </c>
      <c r="F34" s="4">
        <f t="shared" si="0"/>
        <v>25</v>
      </c>
      <c r="G34" s="4">
        <f t="shared" si="4"/>
        <v>0</v>
      </c>
      <c r="H34" t="s">
        <v>21</v>
      </c>
    </row>
    <row r="35" spans="1:10" ht="15.75" customHeight="1">
      <c r="A35" s="30">
        <v>45914</v>
      </c>
      <c r="B35" t="s">
        <v>20</v>
      </c>
      <c r="C35">
        <v>1</v>
      </c>
      <c r="D35">
        <v>70</v>
      </c>
      <c r="F35" s="4">
        <f t="shared" si="0"/>
        <v>70</v>
      </c>
      <c r="G35" s="4">
        <f t="shared" si="4"/>
        <v>0</v>
      </c>
      <c r="H35" t="s">
        <v>21</v>
      </c>
    </row>
    <row r="36" spans="1:10" ht="15.75" customHeight="1">
      <c r="A36" s="30">
        <v>45914</v>
      </c>
      <c r="B36" t="s">
        <v>44</v>
      </c>
      <c r="C36">
        <v>1</v>
      </c>
      <c r="D36">
        <v>55</v>
      </c>
      <c r="E36">
        <f>5/55*100</f>
        <v>9.0909090909090899</v>
      </c>
      <c r="F36" s="4">
        <f t="shared" si="0"/>
        <v>50</v>
      </c>
      <c r="G36" s="4">
        <f t="shared" si="4"/>
        <v>5</v>
      </c>
      <c r="H36" t="s">
        <v>9</v>
      </c>
    </row>
    <row r="37" spans="1:10" ht="15.75" customHeight="1">
      <c r="A37" s="30">
        <v>45915</v>
      </c>
      <c r="B37" t="s">
        <v>45</v>
      </c>
      <c r="C37">
        <v>1</v>
      </c>
      <c r="D37">
        <v>50</v>
      </c>
      <c r="F37" s="4">
        <f t="shared" si="0"/>
        <v>50</v>
      </c>
      <c r="G37" s="4">
        <f t="shared" si="4"/>
        <v>0</v>
      </c>
      <c r="H37" t="s">
        <v>21</v>
      </c>
    </row>
    <row r="38" spans="1:10" ht="15.75" customHeight="1">
      <c r="A38" s="30">
        <v>45915</v>
      </c>
      <c r="B38" t="s">
        <v>46</v>
      </c>
      <c r="C38">
        <v>1</v>
      </c>
      <c r="D38">
        <v>90</v>
      </c>
      <c r="F38" s="4">
        <f t="shared" si="0"/>
        <v>90</v>
      </c>
      <c r="G38" s="4">
        <f t="shared" si="4"/>
        <v>0</v>
      </c>
      <c r="H38" t="s">
        <v>21</v>
      </c>
    </row>
    <row r="39" spans="1:10" ht="15.75" customHeight="1">
      <c r="A39" s="30">
        <v>45915</v>
      </c>
      <c r="B39" t="s">
        <v>45</v>
      </c>
      <c r="C39">
        <v>1</v>
      </c>
      <c r="D39">
        <v>50</v>
      </c>
      <c r="F39" s="4">
        <f t="shared" si="0"/>
        <v>50</v>
      </c>
      <c r="G39" s="4">
        <f t="shared" si="4"/>
        <v>0</v>
      </c>
      <c r="H39" t="s">
        <v>9</v>
      </c>
    </row>
    <row r="40" spans="1:10" ht="15.75" customHeight="1">
      <c r="A40" s="30">
        <v>45915</v>
      </c>
      <c r="B40" t="s">
        <v>25</v>
      </c>
      <c r="C40">
        <v>1</v>
      </c>
      <c r="D40">
        <v>10</v>
      </c>
      <c r="F40" s="4">
        <f t="shared" si="0"/>
        <v>10</v>
      </c>
      <c r="G40" s="4">
        <f t="shared" si="4"/>
        <v>0</v>
      </c>
      <c r="H40" t="s">
        <v>9</v>
      </c>
    </row>
    <row r="41" spans="1:10" ht="15.75" customHeight="1">
      <c r="A41" s="30">
        <v>45916</v>
      </c>
      <c r="B41" t="s">
        <v>45</v>
      </c>
      <c r="C41">
        <v>1</v>
      </c>
      <c r="D41">
        <v>50</v>
      </c>
      <c r="E41">
        <v>20</v>
      </c>
      <c r="F41" s="4">
        <f t="shared" si="0"/>
        <v>40</v>
      </c>
      <c r="G41" s="4">
        <f t="shared" si="4"/>
        <v>10</v>
      </c>
      <c r="H41" t="s">
        <v>9</v>
      </c>
    </row>
    <row r="42" spans="1:10" ht="15.75" customHeight="1">
      <c r="A42" s="30">
        <v>45917</v>
      </c>
      <c r="B42" t="s">
        <v>47</v>
      </c>
      <c r="C42">
        <v>1</v>
      </c>
      <c r="D42">
        <v>55</v>
      </c>
      <c r="F42" s="4">
        <f t="shared" si="0"/>
        <v>55</v>
      </c>
      <c r="G42" s="4">
        <f t="shared" si="4"/>
        <v>0</v>
      </c>
      <c r="H42" t="s">
        <v>21</v>
      </c>
      <c r="J42" t="s">
        <v>48</v>
      </c>
    </row>
    <row r="43" spans="1:10" ht="15.75" customHeight="1">
      <c r="A43" s="30">
        <v>45917</v>
      </c>
      <c r="B43" t="s">
        <v>49</v>
      </c>
      <c r="C43">
        <v>1</v>
      </c>
      <c r="D43">
        <v>60</v>
      </c>
      <c r="F43" s="4">
        <f t="shared" si="0"/>
        <v>60</v>
      </c>
      <c r="G43" s="4">
        <f t="shared" si="4"/>
        <v>0</v>
      </c>
      <c r="H43" t="s">
        <v>21</v>
      </c>
    </row>
    <row r="44" spans="1:10" ht="15.75" customHeight="1">
      <c r="A44" s="30">
        <v>45917</v>
      </c>
      <c r="B44" t="s">
        <v>50</v>
      </c>
      <c r="C44">
        <v>2</v>
      </c>
      <c r="D44">
        <v>20</v>
      </c>
      <c r="F44" s="4">
        <f t="shared" si="0"/>
        <v>40</v>
      </c>
      <c r="G44" s="4">
        <f t="shared" si="4"/>
        <v>0</v>
      </c>
      <c r="H44" t="s">
        <v>21</v>
      </c>
    </row>
    <row r="45" spans="1:10" ht="15.75" customHeight="1">
      <c r="A45" s="30">
        <v>45917</v>
      </c>
      <c r="B45" t="s">
        <v>20</v>
      </c>
      <c r="C45">
        <v>1</v>
      </c>
      <c r="D45">
        <v>70</v>
      </c>
      <c r="F45" s="4">
        <f t="shared" si="0"/>
        <v>70</v>
      </c>
      <c r="G45" s="4">
        <f t="shared" si="4"/>
        <v>0</v>
      </c>
      <c r="H45" t="s">
        <v>21</v>
      </c>
    </row>
    <row r="46" spans="1:10" ht="15.75" customHeight="1">
      <c r="A46" s="30">
        <v>45918</v>
      </c>
      <c r="B46" t="s">
        <v>51</v>
      </c>
      <c r="C46">
        <v>1</v>
      </c>
      <c r="D46">
        <v>55</v>
      </c>
      <c r="E46">
        <f>5/55*100</f>
        <v>9.0909090909090899</v>
      </c>
      <c r="F46" s="4">
        <f t="shared" si="0"/>
        <v>50</v>
      </c>
      <c r="G46" s="4">
        <f t="shared" si="4"/>
        <v>5</v>
      </c>
      <c r="H46" t="s">
        <v>9</v>
      </c>
      <c r="J46" t="s">
        <v>52</v>
      </c>
    </row>
    <row r="47" spans="1:10" ht="15.75" customHeight="1">
      <c r="A47" s="30">
        <v>45918</v>
      </c>
      <c r="B47" t="s">
        <v>53</v>
      </c>
      <c r="C47">
        <v>4</v>
      </c>
      <c r="D47">
        <v>18</v>
      </c>
      <c r="F47" s="4">
        <f t="shared" si="0"/>
        <v>72</v>
      </c>
      <c r="G47" s="4">
        <f t="shared" si="4"/>
        <v>0</v>
      </c>
      <c r="H47" t="s">
        <v>9</v>
      </c>
    </row>
    <row r="48" spans="1:10" ht="15.75" customHeight="1">
      <c r="A48" s="30">
        <v>45918</v>
      </c>
      <c r="B48" t="s">
        <v>54</v>
      </c>
      <c r="C48">
        <v>2</v>
      </c>
      <c r="D48">
        <v>18</v>
      </c>
      <c r="F48" s="4">
        <f t="shared" si="0"/>
        <v>36</v>
      </c>
      <c r="G48" s="4">
        <f t="shared" si="4"/>
        <v>0</v>
      </c>
      <c r="H48" t="s">
        <v>9</v>
      </c>
    </row>
    <row r="49" spans="1:26" ht="15.75" customHeight="1">
      <c r="A49" s="30">
        <v>45918</v>
      </c>
      <c r="B49" t="s">
        <v>55</v>
      </c>
      <c r="C49">
        <v>1</v>
      </c>
      <c r="D49">
        <v>50</v>
      </c>
      <c r="F49" s="4">
        <f t="shared" si="0"/>
        <v>50</v>
      </c>
      <c r="G49" s="4">
        <f t="shared" si="4"/>
        <v>0</v>
      </c>
      <c r="H49" t="s">
        <v>9</v>
      </c>
    </row>
    <row r="50" spans="1:26" ht="15.75" customHeight="1">
      <c r="A50" s="30">
        <v>45918</v>
      </c>
      <c r="B50" t="s">
        <v>56</v>
      </c>
      <c r="C50">
        <v>1</v>
      </c>
      <c r="D50">
        <v>50</v>
      </c>
      <c r="F50" s="4">
        <f t="shared" si="0"/>
        <v>50</v>
      </c>
      <c r="G50" s="4">
        <f t="shared" si="4"/>
        <v>0</v>
      </c>
      <c r="H50" t="s">
        <v>9</v>
      </c>
    </row>
    <row r="51" spans="1:26" ht="15.75" customHeight="1">
      <c r="A51" s="30">
        <v>45918</v>
      </c>
      <c r="B51" t="s">
        <v>57</v>
      </c>
      <c r="C51">
        <v>1</v>
      </c>
      <c r="D51">
        <v>50</v>
      </c>
      <c r="F51" s="4">
        <f t="shared" si="0"/>
        <v>50</v>
      </c>
      <c r="G51" s="4">
        <f t="shared" si="4"/>
        <v>0</v>
      </c>
      <c r="H51" t="s">
        <v>9</v>
      </c>
    </row>
    <row r="52" spans="1:26" ht="15.75" customHeight="1">
      <c r="A52" s="30">
        <v>45918</v>
      </c>
      <c r="B52" t="s">
        <v>58</v>
      </c>
      <c r="C52">
        <v>1</v>
      </c>
      <c r="D52">
        <v>30</v>
      </c>
      <c r="F52" s="4">
        <f t="shared" si="0"/>
        <v>30</v>
      </c>
      <c r="G52" s="4">
        <f t="shared" si="4"/>
        <v>0</v>
      </c>
      <c r="H52" t="s">
        <v>9</v>
      </c>
    </row>
    <row r="53" spans="1:26" ht="15.75" customHeight="1">
      <c r="A53" s="30">
        <v>45918</v>
      </c>
      <c r="B53" t="s">
        <v>25</v>
      </c>
      <c r="C53">
        <v>3</v>
      </c>
      <c r="D53">
        <v>10</v>
      </c>
      <c r="E53">
        <v>50</v>
      </c>
      <c r="F53" s="4">
        <f t="shared" si="0"/>
        <v>15</v>
      </c>
      <c r="G53" s="4">
        <f t="shared" si="4"/>
        <v>15</v>
      </c>
      <c r="H53" t="s">
        <v>9</v>
      </c>
    </row>
    <row r="54" spans="1:26" ht="15.75" customHeight="1">
      <c r="A54" s="30">
        <v>45918</v>
      </c>
      <c r="B54" t="s">
        <v>26</v>
      </c>
      <c r="C54">
        <v>1</v>
      </c>
      <c r="D54">
        <v>110</v>
      </c>
      <c r="E54">
        <f>20/110*100</f>
        <v>18.181818181818201</v>
      </c>
      <c r="F54" s="4">
        <f t="shared" si="0"/>
        <v>90</v>
      </c>
      <c r="G54" s="4">
        <f t="shared" si="4"/>
        <v>20</v>
      </c>
      <c r="H54" t="s">
        <v>9</v>
      </c>
    </row>
    <row r="55" spans="1:26" ht="15.75" customHeight="1">
      <c r="A55" s="30">
        <v>45918</v>
      </c>
      <c r="B55" t="s">
        <v>23</v>
      </c>
      <c r="C55">
        <v>1</v>
      </c>
      <c r="D55">
        <v>70</v>
      </c>
      <c r="F55" s="4">
        <f t="shared" si="0"/>
        <v>70</v>
      </c>
      <c r="G55" s="4">
        <f t="shared" si="4"/>
        <v>0</v>
      </c>
      <c r="H55" t="s">
        <v>9</v>
      </c>
    </row>
    <row r="56" spans="1:26" ht="15.75" customHeight="1">
      <c r="A56" s="30">
        <v>45918</v>
      </c>
      <c r="B56" t="s">
        <v>26</v>
      </c>
      <c r="C56">
        <v>1</v>
      </c>
      <c r="D56">
        <v>110</v>
      </c>
      <c r="F56" s="4">
        <f t="shared" si="0"/>
        <v>110</v>
      </c>
      <c r="G56" s="4">
        <f t="shared" si="4"/>
        <v>0</v>
      </c>
      <c r="H56" t="s">
        <v>9</v>
      </c>
      <c r="J56" t="s">
        <v>59</v>
      </c>
    </row>
    <row r="57" spans="1:26" ht="15.75" customHeight="1">
      <c r="A57" s="30">
        <v>45918</v>
      </c>
      <c r="B57" t="s">
        <v>60</v>
      </c>
      <c r="C57">
        <v>1</v>
      </c>
      <c r="D57">
        <v>55</v>
      </c>
      <c r="E57">
        <f>10/55*100</f>
        <v>18.181818181818201</v>
      </c>
      <c r="F57" s="4">
        <f t="shared" si="0"/>
        <v>45</v>
      </c>
      <c r="G57" s="4">
        <f t="shared" si="4"/>
        <v>10</v>
      </c>
      <c r="H57" t="s">
        <v>9</v>
      </c>
    </row>
    <row r="58" spans="1:26" ht="15.75" customHeight="1">
      <c r="A58" s="30">
        <v>45918</v>
      </c>
      <c r="B58" t="s">
        <v>61</v>
      </c>
      <c r="C58">
        <v>6</v>
      </c>
      <c r="D58">
        <v>20</v>
      </c>
      <c r="E58">
        <v>16.666666670000001</v>
      </c>
      <c r="F58" s="4">
        <f t="shared" si="0"/>
        <v>99.999999996</v>
      </c>
      <c r="G58" s="4">
        <f t="shared" si="4"/>
        <v>20.000000004</v>
      </c>
      <c r="H58" t="s">
        <v>9</v>
      </c>
    </row>
    <row r="59" spans="1:26" ht="15.75" customHeight="1">
      <c r="A59" s="30">
        <v>45918</v>
      </c>
      <c r="B59" t="s">
        <v>62</v>
      </c>
      <c r="C59">
        <v>1</v>
      </c>
      <c r="D59">
        <v>30</v>
      </c>
      <c r="E59">
        <f>10/30*100</f>
        <v>33.3333333333333</v>
      </c>
      <c r="F59" s="4">
        <f t="shared" si="0"/>
        <v>20</v>
      </c>
      <c r="G59" s="4">
        <f t="shared" si="4"/>
        <v>10</v>
      </c>
      <c r="H59" t="s">
        <v>9</v>
      </c>
    </row>
    <row r="60" spans="1:26" ht="15.75" customHeight="1">
      <c r="A60" s="30">
        <v>45918</v>
      </c>
      <c r="B60" t="s">
        <v>63</v>
      </c>
      <c r="C60">
        <v>1</v>
      </c>
      <c r="D60">
        <v>25</v>
      </c>
      <c r="E60">
        <v>20</v>
      </c>
      <c r="F60" s="4">
        <f t="shared" si="0"/>
        <v>20</v>
      </c>
      <c r="G60" s="4">
        <f t="shared" si="4"/>
        <v>5</v>
      </c>
      <c r="H60" t="s">
        <v>9</v>
      </c>
    </row>
    <row r="61" spans="1:26" ht="15.75" customHeight="1">
      <c r="A61" s="31">
        <v>45918</v>
      </c>
      <c r="B61" s="6" t="s">
        <v>64</v>
      </c>
      <c r="C61" s="6">
        <v>1</v>
      </c>
      <c r="D61" s="6">
        <v>40</v>
      </c>
      <c r="E61" s="6">
        <v>12.5</v>
      </c>
      <c r="F61" s="7">
        <f t="shared" si="0"/>
        <v>35</v>
      </c>
      <c r="G61" s="7">
        <f t="shared" si="4"/>
        <v>5</v>
      </c>
      <c r="H61" s="6" t="s">
        <v>21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30">
        <v>45918</v>
      </c>
      <c r="B62" t="s">
        <v>65</v>
      </c>
      <c r="C62">
        <v>1</v>
      </c>
      <c r="D62">
        <v>50</v>
      </c>
      <c r="F62" s="4">
        <f t="shared" si="0"/>
        <v>50</v>
      </c>
      <c r="G62" s="4">
        <f t="shared" si="4"/>
        <v>0</v>
      </c>
      <c r="H62" t="s">
        <v>9</v>
      </c>
    </row>
    <row r="63" spans="1:26" ht="15.75" customHeight="1">
      <c r="A63" s="30">
        <v>45918</v>
      </c>
      <c r="B63" t="s">
        <v>55</v>
      </c>
      <c r="C63">
        <v>1</v>
      </c>
      <c r="D63">
        <v>50</v>
      </c>
      <c r="F63" s="4">
        <f t="shared" si="0"/>
        <v>50</v>
      </c>
      <c r="G63" s="4">
        <f t="shared" si="4"/>
        <v>0</v>
      </c>
      <c r="H63" t="s">
        <v>9</v>
      </c>
    </row>
    <row r="64" spans="1:26" ht="15.75" customHeight="1">
      <c r="A64" s="30">
        <v>45918</v>
      </c>
      <c r="B64" t="s">
        <v>66</v>
      </c>
      <c r="C64">
        <v>1</v>
      </c>
      <c r="D64">
        <v>20</v>
      </c>
      <c r="F64" s="4">
        <f t="shared" si="0"/>
        <v>20</v>
      </c>
      <c r="G64" s="4">
        <f t="shared" si="4"/>
        <v>0</v>
      </c>
      <c r="H64" t="s">
        <v>9</v>
      </c>
    </row>
    <row r="65" spans="1:26" ht="15.75" customHeight="1">
      <c r="A65" s="30">
        <v>45918</v>
      </c>
      <c r="B65" t="s">
        <v>61</v>
      </c>
      <c r="C65">
        <v>12</v>
      </c>
      <c r="D65">
        <v>20</v>
      </c>
      <c r="E65">
        <v>20</v>
      </c>
      <c r="F65" s="4">
        <f t="shared" si="0"/>
        <v>192</v>
      </c>
      <c r="G65" s="4">
        <f t="shared" si="4"/>
        <v>48</v>
      </c>
      <c r="H65" t="s">
        <v>9</v>
      </c>
    </row>
    <row r="66" spans="1:26" ht="15.75" customHeight="1">
      <c r="A66" s="30">
        <v>45918</v>
      </c>
      <c r="B66" t="s">
        <v>67</v>
      </c>
      <c r="C66">
        <v>2</v>
      </c>
      <c r="D66">
        <v>60</v>
      </c>
      <c r="E66">
        <v>10</v>
      </c>
      <c r="F66" s="4">
        <f t="shared" si="0"/>
        <v>108</v>
      </c>
      <c r="G66" s="4">
        <f t="shared" si="4"/>
        <v>12</v>
      </c>
      <c r="H66" t="s">
        <v>9</v>
      </c>
    </row>
    <row r="67" spans="1:26" ht="15.75" customHeight="1">
      <c r="A67" s="30">
        <v>45918</v>
      </c>
      <c r="B67" t="s">
        <v>57</v>
      </c>
      <c r="C67">
        <v>1</v>
      </c>
      <c r="D67">
        <v>50</v>
      </c>
      <c r="E67">
        <v>20</v>
      </c>
      <c r="F67" s="4">
        <f t="shared" si="0"/>
        <v>40</v>
      </c>
      <c r="G67" s="4">
        <f t="shared" si="4"/>
        <v>10</v>
      </c>
      <c r="H67" t="s">
        <v>9</v>
      </c>
    </row>
    <row r="68" spans="1:26" ht="15.75" customHeight="1">
      <c r="A68" s="30">
        <v>45918</v>
      </c>
      <c r="B68" t="s">
        <v>68</v>
      </c>
      <c r="C68">
        <v>6</v>
      </c>
      <c r="D68">
        <v>20</v>
      </c>
      <c r="E68">
        <f t="shared" ref="E68:E69" si="5">20/120*100</f>
        <v>16.6666666666667</v>
      </c>
      <c r="F68" s="4">
        <f t="shared" si="0"/>
        <v>100</v>
      </c>
      <c r="G68" s="4">
        <f t="shared" si="4"/>
        <v>20</v>
      </c>
      <c r="H68" t="s">
        <v>9</v>
      </c>
    </row>
    <row r="69" spans="1:26" ht="15.75" customHeight="1">
      <c r="A69" s="30">
        <v>45918</v>
      </c>
      <c r="B69" t="s">
        <v>69</v>
      </c>
      <c r="C69">
        <v>6</v>
      </c>
      <c r="D69">
        <v>20</v>
      </c>
      <c r="E69">
        <f t="shared" si="5"/>
        <v>16.6666666666667</v>
      </c>
      <c r="F69" s="4">
        <f t="shared" si="0"/>
        <v>100</v>
      </c>
      <c r="G69" s="4">
        <f t="shared" si="4"/>
        <v>20</v>
      </c>
      <c r="H69" t="s">
        <v>9</v>
      </c>
    </row>
    <row r="70" spans="1:26" ht="15.75" customHeight="1">
      <c r="A70" s="30">
        <v>45919</v>
      </c>
      <c r="B70" t="s">
        <v>26</v>
      </c>
      <c r="C70">
        <v>1</v>
      </c>
      <c r="D70">
        <v>110</v>
      </c>
      <c r="E70">
        <f>30/110*100</f>
        <v>27.272727272727298</v>
      </c>
      <c r="F70" s="4">
        <f t="shared" si="0"/>
        <v>80</v>
      </c>
      <c r="G70" s="4">
        <f t="shared" si="4"/>
        <v>30</v>
      </c>
      <c r="H70" t="s">
        <v>9</v>
      </c>
      <c r="J70" t="s">
        <v>70</v>
      </c>
    </row>
    <row r="71" spans="1:26" ht="15.75" customHeight="1">
      <c r="A71" s="30">
        <v>45919</v>
      </c>
      <c r="B71" t="s">
        <v>71</v>
      </c>
      <c r="C71">
        <v>1</v>
      </c>
      <c r="D71">
        <v>60</v>
      </c>
      <c r="F71" s="4">
        <f t="shared" si="0"/>
        <v>60</v>
      </c>
      <c r="G71" s="4">
        <f t="shared" si="4"/>
        <v>0</v>
      </c>
      <c r="H71" t="s">
        <v>9</v>
      </c>
    </row>
    <row r="72" spans="1:26" ht="15.75" customHeight="1">
      <c r="A72" s="30">
        <v>45919</v>
      </c>
      <c r="B72" t="s">
        <v>72</v>
      </c>
      <c r="C72">
        <v>3</v>
      </c>
      <c r="D72">
        <v>30</v>
      </c>
      <c r="F72" s="4">
        <f t="shared" si="0"/>
        <v>90</v>
      </c>
      <c r="G72" s="4">
        <f t="shared" si="4"/>
        <v>0</v>
      </c>
      <c r="H72" t="s">
        <v>9</v>
      </c>
      <c r="J72" t="s">
        <v>73</v>
      </c>
    </row>
    <row r="73" spans="1:26" ht="15.75" customHeight="1">
      <c r="A73" s="30">
        <v>45919</v>
      </c>
      <c r="B73" t="s">
        <v>74</v>
      </c>
      <c r="C73">
        <v>2</v>
      </c>
      <c r="D73">
        <v>80</v>
      </c>
      <c r="E73">
        <f>10/160*100</f>
        <v>6.25</v>
      </c>
      <c r="F73" s="4">
        <f t="shared" si="0"/>
        <v>150</v>
      </c>
      <c r="G73" s="4">
        <f t="shared" si="4"/>
        <v>10</v>
      </c>
      <c r="H73" t="s">
        <v>9</v>
      </c>
      <c r="J73" t="s">
        <v>73</v>
      </c>
    </row>
    <row r="74" spans="1:26" ht="15.75" customHeight="1">
      <c r="A74" s="30">
        <v>45920</v>
      </c>
      <c r="B74" t="s">
        <v>75</v>
      </c>
      <c r="C74">
        <v>2</v>
      </c>
      <c r="D74">
        <v>25</v>
      </c>
      <c r="F74" s="4">
        <f t="shared" si="0"/>
        <v>50</v>
      </c>
      <c r="G74" s="4">
        <f t="shared" si="4"/>
        <v>0</v>
      </c>
      <c r="H74" t="s">
        <v>9</v>
      </c>
    </row>
    <row r="75" spans="1:26" ht="15.75" customHeight="1">
      <c r="A75" s="31">
        <v>45920</v>
      </c>
      <c r="B75" s="6" t="s">
        <v>76</v>
      </c>
      <c r="C75" s="6">
        <v>1</v>
      </c>
      <c r="D75" s="6">
        <v>30</v>
      </c>
      <c r="E75" s="7"/>
      <c r="F75" s="7">
        <f t="shared" si="0"/>
        <v>30</v>
      </c>
      <c r="G75" s="7">
        <f t="shared" si="4"/>
        <v>0</v>
      </c>
      <c r="H75" s="6" t="s">
        <v>9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31">
        <v>45920</v>
      </c>
      <c r="B76" s="6" t="s">
        <v>77</v>
      </c>
      <c r="C76" s="6">
        <v>1</v>
      </c>
      <c r="D76" s="6">
        <v>10</v>
      </c>
      <c r="E76" s="7"/>
      <c r="F76" s="7">
        <f t="shared" si="0"/>
        <v>10</v>
      </c>
      <c r="G76" s="7">
        <f t="shared" si="4"/>
        <v>0</v>
      </c>
      <c r="H76" s="6" t="s">
        <v>9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30">
        <v>45920</v>
      </c>
      <c r="B77" t="s">
        <v>78</v>
      </c>
      <c r="C77">
        <v>1</v>
      </c>
      <c r="D77">
        <v>20</v>
      </c>
      <c r="E77">
        <v>0</v>
      </c>
      <c r="F77" s="4">
        <f t="shared" si="0"/>
        <v>20</v>
      </c>
      <c r="G77" s="4">
        <f t="shared" si="4"/>
        <v>0</v>
      </c>
      <c r="H77" t="s">
        <v>9</v>
      </c>
    </row>
    <row r="78" spans="1:26" ht="15.75" customHeight="1">
      <c r="A78" s="30">
        <v>45920</v>
      </c>
      <c r="B78" t="s">
        <v>24</v>
      </c>
      <c r="C78">
        <v>2</v>
      </c>
      <c r="D78">
        <v>10</v>
      </c>
      <c r="E78">
        <v>50</v>
      </c>
      <c r="F78" s="4">
        <f t="shared" si="0"/>
        <v>10</v>
      </c>
      <c r="G78" s="4">
        <f t="shared" si="4"/>
        <v>10</v>
      </c>
      <c r="H78" t="s">
        <v>9</v>
      </c>
    </row>
    <row r="79" spans="1:26" ht="15.75" customHeight="1">
      <c r="A79" s="30">
        <v>45920</v>
      </c>
      <c r="B79" t="s">
        <v>23</v>
      </c>
      <c r="C79">
        <v>1</v>
      </c>
      <c r="D79">
        <v>70</v>
      </c>
      <c r="E79">
        <v>0</v>
      </c>
      <c r="F79" s="4">
        <f t="shared" si="0"/>
        <v>70</v>
      </c>
      <c r="G79" s="4">
        <f t="shared" si="4"/>
        <v>0</v>
      </c>
      <c r="H79" t="s">
        <v>9</v>
      </c>
    </row>
    <row r="80" spans="1:26" ht="15.75" customHeight="1">
      <c r="A80" s="30">
        <v>45920</v>
      </c>
      <c r="B80" t="s">
        <v>24</v>
      </c>
      <c r="C80">
        <v>7</v>
      </c>
      <c r="D80">
        <v>10</v>
      </c>
      <c r="E80" s="4">
        <f>10/70*100</f>
        <v>14.285714285714301</v>
      </c>
      <c r="F80" s="4">
        <f t="shared" si="0"/>
        <v>60</v>
      </c>
      <c r="G80" s="4">
        <f t="shared" si="4"/>
        <v>10</v>
      </c>
      <c r="H80" t="s">
        <v>9</v>
      </c>
    </row>
    <row r="81" spans="1:26" ht="15.75" customHeight="1">
      <c r="A81" s="30">
        <v>45921</v>
      </c>
      <c r="B81" t="s">
        <v>54</v>
      </c>
      <c r="C81">
        <v>4</v>
      </c>
      <c r="D81">
        <v>20</v>
      </c>
      <c r="F81" s="4">
        <f t="shared" si="0"/>
        <v>80</v>
      </c>
      <c r="G81" s="4">
        <f t="shared" si="4"/>
        <v>0</v>
      </c>
      <c r="H81" t="s">
        <v>21</v>
      </c>
    </row>
    <row r="82" spans="1:26" ht="15.75" customHeight="1">
      <c r="A82" s="30">
        <v>45921</v>
      </c>
      <c r="B82" t="s">
        <v>24</v>
      </c>
      <c r="C82">
        <v>1</v>
      </c>
      <c r="D82">
        <v>10</v>
      </c>
      <c r="E82">
        <v>50</v>
      </c>
      <c r="F82" s="4">
        <f t="shared" si="0"/>
        <v>5</v>
      </c>
      <c r="G82" s="4">
        <f t="shared" si="4"/>
        <v>5</v>
      </c>
      <c r="H82" t="s">
        <v>21</v>
      </c>
    </row>
    <row r="83" spans="1:26" ht="15.75" customHeight="1">
      <c r="A83" s="30">
        <v>45921</v>
      </c>
      <c r="B83" t="s">
        <v>46</v>
      </c>
      <c r="C83">
        <v>1</v>
      </c>
      <c r="D83">
        <v>90</v>
      </c>
      <c r="F83" s="4">
        <f t="shared" si="0"/>
        <v>90</v>
      </c>
      <c r="G83" s="4">
        <f t="shared" si="4"/>
        <v>0</v>
      </c>
      <c r="H83" t="s">
        <v>21</v>
      </c>
    </row>
    <row r="84" spans="1:26" ht="15.75" customHeight="1">
      <c r="A84" s="30">
        <v>45922</v>
      </c>
      <c r="B84" t="s">
        <v>75</v>
      </c>
      <c r="C84">
        <v>2</v>
      </c>
      <c r="D84">
        <v>25</v>
      </c>
      <c r="F84" s="4">
        <f t="shared" si="0"/>
        <v>50</v>
      </c>
      <c r="G84" s="4">
        <f t="shared" si="4"/>
        <v>0</v>
      </c>
      <c r="H84" t="s">
        <v>9</v>
      </c>
    </row>
    <row r="85" spans="1:26" ht="15.75" customHeight="1">
      <c r="A85" s="31">
        <v>45922</v>
      </c>
      <c r="B85" s="6" t="s">
        <v>79</v>
      </c>
      <c r="C85" s="6">
        <v>1</v>
      </c>
      <c r="D85" s="6">
        <v>165</v>
      </c>
      <c r="E85" s="7"/>
      <c r="F85" s="7">
        <f t="shared" si="0"/>
        <v>165</v>
      </c>
      <c r="G85" s="7">
        <f t="shared" si="4"/>
        <v>0</v>
      </c>
      <c r="H85" s="6" t="s">
        <v>21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30">
        <v>45923</v>
      </c>
      <c r="B86" t="s">
        <v>80</v>
      </c>
      <c r="C86">
        <v>2</v>
      </c>
      <c r="D86">
        <v>25</v>
      </c>
      <c r="F86" s="4">
        <f t="shared" si="0"/>
        <v>50</v>
      </c>
      <c r="G86" s="4">
        <f t="shared" si="4"/>
        <v>0</v>
      </c>
      <c r="H86" t="s">
        <v>9</v>
      </c>
    </row>
    <row r="87" spans="1:26" ht="15.75" customHeight="1">
      <c r="A87" s="30">
        <v>45924</v>
      </c>
      <c r="B87" t="s">
        <v>81</v>
      </c>
      <c r="C87">
        <v>1</v>
      </c>
      <c r="D87">
        <v>200</v>
      </c>
      <c r="F87" s="4">
        <f t="shared" si="0"/>
        <v>200</v>
      </c>
      <c r="G87" s="4">
        <f t="shared" si="4"/>
        <v>0</v>
      </c>
      <c r="H87" t="s">
        <v>9</v>
      </c>
    </row>
    <row r="88" spans="1:26" ht="15.75" customHeight="1">
      <c r="A88" s="30">
        <v>45924</v>
      </c>
      <c r="B88" t="s">
        <v>82</v>
      </c>
      <c r="C88">
        <v>2</v>
      </c>
      <c r="D88">
        <v>70</v>
      </c>
      <c r="F88" s="4">
        <f t="shared" si="0"/>
        <v>140</v>
      </c>
      <c r="G88" s="4">
        <f t="shared" si="4"/>
        <v>0</v>
      </c>
      <c r="H88" t="s">
        <v>21</v>
      </c>
    </row>
    <row r="89" spans="1:26" ht="15.75" customHeight="1">
      <c r="A89" s="30">
        <v>45924</v>
      </c>
      <c r="B89" t="s">
        <v>83</v>
      </c>
      <c r="C89">
        <v>1</v>
      </c>
      <c r="D89">
        <v>200</v>
      </c>
      <c r="F89" s="4">
        <f t="shared" si="0"/>
        <v>200</v>
      </c>
      <c r="G89" s="4">
        <f t="shared" si="4"/>
        <v>0</v>
      </c>
      <c r="H89" t="s">
        <v>9</v>
      </c>
    </row>
    <row r="90" spans="1:26" ht="15.75" customHeight="1">
      <c r="A90" s="30">
        <v>45924</v>
      </c>
      <c r="B90" t="s">
        <v>84</v>
      </c>
      <c r="C90">
        <v>1</v>
      </c>
      <c r="D90">
        <v>25</v>
      </c>
      <c r="F90" s="4">
        <f t="shared" si="0"/>
        <v>25</v>
      </c>
      <c r="G90" s="4">
        <f t="shared" si="4"/>
        <v>0</v>
      </c>
      <c r="H90" t="s">
        <v>9</v>
      </c>
    </row>
    <row r="91" spans="1:26" ht="15.75" customHeight="1">
      <c r="A91" s="30">
        <v>45924</v>
      </c>
      <c r="B91" t="s">
        <v>85</v>
      </c>
      <c r="C91">
        <v>1</v>
      </c>
      <c r="D91">
        <v>50</v>
      </c>
      <c r="F91" s="4">
        <f t="shared" si="0"/>
        <v>50</v>
      </c>
      <c r="G91" s="4">
        <f t="shared" si="4"/>
        <v>0</v>
      </c>
      <c r="H91" t="s">
        <v>9</v>
      </c>
    </row>
    <row r="92" spans="1:26" ht="15.75" customHeight="1">
      <c r="A92" s="30">
        <v>45924</v>
      </c>
      <c r="B92" t="s">
        <v>40</v>
      </c>
      <c r="C92">
        <v>1</v>
      </c>
      <c r="D92">
        <v>20</v>
      </c>
      <c r="E92">
        <v>25</v>
      </c>
      <c r="F92" s="4">
        <f t="shared" si="0"/>
        <v>15</v>
      </c>
      <c r="G92" s="4">
        <f t="shared" si="4"/>
        <v>5</v>
      </c>
      <c r="H92" t="s">
        <v>9</v>
      </c>
      <c r="J92" t="s">
        <v>86</v>
      </c>
    </row>
    <row r="93" spans="1:26" ht="15.75" customHeight="1">
      <c r="A93" s="30">
        <v>45924</v>
      </c>
      <c r="B93" t="s">
        <v>87</v>
      </c>
      <c r="C93">
        <v>2</v>
      </c>
      <c r="D93">
        <v>50</v>
      </c>
      <c r="F93" s="4">
        <f t="shared" si="0"/>
        <v>100</v>
      </c>
      <c r="G93" s="4">
        <f t="shared" si="4"/>
        <v>0</v>
      </c>
      <c r="H93" t="s">
        <v>21</v>
      </c>
    </row>
    <row r="94" spans="1:26" ht="15.75" customHeight="1">
      <c r="A94" s="30">
        <v>45925</v>
      </c>
      <c r="B94" t="s">
        <v>88</v>
      </c>
      <c r="C94">
        <v>1</v>
      </c>
      <c r="D94">
        <v>60</v>
      </c>
      <c r="F94" s="4">
        <f t="shared" si="0"/>
        <v>60</v>
      </c>
      <c r="G94" s="4">
        <f t="shared" si="4"/>
        <v>0</v>
      </c>
      <c r="H94" t="s">
        <v>9</v>
      </c>
    </row>
    <row r="95" spans="1:26" ht="15.75" customHeight="1">
      <c r="A95" s="30">
        <v>45925</v>
      </c>
      <c r="B95" t="s">
        <v>89</v>
      </c>
      <c r="C95">
        <v>1</v>
      </c>
      <c r="D95">
        <v>20</v>
      </c>
      <c r="F95" s="4">
        <f t="shared" si="0"/>
        <v>20</v>
      </c>
      <c r="G95" s="4">
        <f t="shared" si="4"/>
        <v>0</v>
      </c>
      <c r="H95" t="s">
        <v>9</v>
      </c>
    </row>
    <row r="96" spans="1:26" ht="15.75" customHeight="1">
      <c r="A96" s="30">
        <v>45925</v>
      </c>
      <c r="B96" t="s">
        <v>90</v>
      </c>
      <c r="C96">
        <v>1</v>
      </c>
      <c r="D96">
        <v>20</v>
      </c>
      <c r="F96" s="4">
        <f t="shared" si="0"/>
        <v>20</v>
      </c>
      <c r="G96" s="4">
        <f t="shared" si="4"/>
        <v>0</v>
      </c>
      <c r="H96" t="s">
        <v>9</v>
      </c>
    </row>
    <row r="97" spans="1:26" ht="15.75" customHeight="1">
      <c r="A97" s="30">
        <v>45925</v>
      </c>
      <c r="B97" t="s">
        <v>91</v>
      </c>
      <c r="C97">
        <v>1</v>
      </c>
      <c r="D97">
        <v>30</v>
      </c>
      <c r="F97" s="4">
        <f t="shared" si="0"/>
        <v>30</v>
      </c>
      <c r="G97" s="4">
        <f t="shared" si="4"/>
        <v>0</v>
      </c>
      <c r="H97" t="s">
        <v>9</v>
      </c>
    </row>
    <row r="98" spans="1:26" ht="15.75" customHeight="1">
      <c r="A98" s="30">
        <v>45925</v>
      </c>
      <c r="B98" t="s">
        <v>92</v>
      </c>
      <c r="C98">
        <v>1</v>
      </c>
      <c r="D98">
        <v>40</v>
      </c>
      <c r="F98" s="4">
        <f t="shared" si="0"/>
        <v>40</v>
      </c>
      <c r="G98" s="4">
        <f t="shared" si="4"/>
        <v>0</v>
      </c>
      <c r="H98" t="s">
        <v>21</v>
      </c>
    </row>
    <row r="99" spans="1:26" ht="15.75" customHeight="1">
      <c r="A99" s="30">
        <v>45925</v>
      </c>
      <c r="B99" t="s">
        <v>29</v>
      </c>
      <c r="C99">
        <v>1</v>
      </c>
      <c r="D99">
        <v>10</v>
      </c>
      <c r="F99" s="4">
        <f t="shared" si="0"/>
        <v>10</v>
      </c>
      <c r="G99" s="4">
        <f t="shared" si="4"/>
        <v>0</v>
      </c>
      <c r="H99" t="s">
        <v>9</v>
      </c>
    </row>
    <row r="100" spans="1:26" ht="15.75" customHeight="1">
      <c r="A100" s="30">
        <v>45926</v>
      </c>
      <c r="B100" t="s">
        <v>93</v>
      </c>
      <c r="C100">
        <v>1</v>
      </c>
      <c r="D100">
        <v>20</v>
      </c>
      <c r="F100" s="4">
        <f t="shared" si="0"/>
        <v>20</v>
      </c>
      <c r="G100" s="4">
        <f t="shared" si="4"/>
        <v>0</v>
      </c>
      <c r="H100" t="s">
        <v>9</v>
      </c>
    </row>
    <row r="101" spans="1:26" ht="15.75" customHeight="1">
      <c r="A101" s="30">
        <v>45926</v>
      </c>
      <c r="B101" t="s">
        <v>94</v>
      </c>
      <c r="C101">
        <v>1</v>
      </c>
      <c r="D101">
        <v>45</v>
      </c>
      <c r="F101" s="4">
        <f t="shared" si="0"/>
        <v>45</v>
      </c>
      <c r="G101" s="4">
        <f t="shared" si="4"/>
        <v>0</v>
      </c>
      <c r="H101" t="s">
        <v>9</v>
      </c>
    </row>
    <row r="102" spans="1:26" ht="15.75" customHeight="1">
      <c r="A102" s="30">
        <v>45926</v>
      </c>
      <c r="B102" s="8" t="s">
        <v>33</v>
      </c>
      <c r="C102" s="8">
        <v>1</v>
      </c>
      <c r="D102" s="8">
        <v>25</v>
      </c>
      <c r="E102" s="8"/>
      <c r="F102" s="9">
        <f t="shared" ref="F102:F517" si="6">C102*D102*(1-E102/100)</f>
        <v>25</v>
      </c>
      <c r="G102" s="9">
        <f t="shared" ref="G102:G517" si="7">C102*D102*(E102/100)</f>
        <v>0</v>
      </c>
      <c r="H102" s="8" t="s">
        <v>21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30">
        <v>45926</v>
      </c>
      <c r="B103" s="8" t="s">
        <v>29</v>
      </c>
      <c r="C103" s="8">
        <v>1</v>
      </c>
      <c r="D103" s="8">
        <v>10</v>
      </c>
      <c r="E103" s="8"/>
      <c r="F103" s="9">
        <f t="shared" si="6"/>
        <v>10</v>
      </c>
      <c r="G103" s="9">
        <f t="shared" si="7"/>
        <v>0</v>
      </c>
      <c r="H103" s="8" t="s">
        <v>21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30">
        <v>45926</v>
      </c>
      <c r="B104" s="8" t="s">
        <v>95</v>
      </c>
      <c r="C104" s="8">
        <v>1</v>
      </c>
      <c r="D104" s="8">
        <v>30</v>
      </c>
      <c r="E104" s="8"/>
      <c r="F104" s="9">
        <f t="shared" si="6"/>
        <v>30</v>
      </c>
      <c r="G104" s="9">
        <f t="shared" si="7"/>
        <v>0</v>
      </c>
      <c r="H104" s="8" t="s">
        <v>9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30">
        <v>45926</v>
      </c>
      <c r="B105" s="8" t="s">
        <v>96</v>
      </c>
      <c r="C105" s="8">
        <v>1</v>
      </c>
      <c r="D105" s="8">
        <v>30</v>
      </c>
      <c r="E105" s="8"/>
      <c r="F105" s="9">
        <f t="shared" si="6"/>
        <v>30</v>
      </c>
      <c r="G105" s="9">
        <f t="shared" si="7"/>
        <v>0</v>
      </c>
      <c r="H105" s="8" t="s">
        <v>21</v>
      </c>
      <c r="I105" s="8"/>
      <c r="J105" s="8" t="s">
        <v>97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31">
        <v>45926</v>
      </c>
      <c r="B106" s="10" t="s">
        <v>98</v>
      </c>
      <c r="C106" s="10">
        <v>1</v>
      </c>
      <c r="D106" s="10">
        <v>40</v>
      </c>
      <c r="E106" s="10"/>
      <c r="F106" s="11">
        <f t="shared" si="6"/>
        <v>40</v>
      </c>
      <c r="G106" s="11">
        <f t="shared" si="7"/>
        <v>0</v>
      </c>
      <c r="H106" s="10" t="s">
        <v>21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>
      <c r="A107" s="30">
        <v>45926</v>
      </c>
      <c r="B107" s="8" t="s">
        <v>99</v>
      </c>
      <c r="C107" s="8">
        <v>2</v>
      </c>
      <c r="D107" s="8">
        <v>20</v>
      </c>
      <c r="E107" s="8"/>
      <c r="F107" s="9">
        <f t="shared" si="6"/>
        <v>40</v>
      </c>
      <c r="G107" s="9">
        <f t="shared" si="7"/>
        <v>0</v>
      </c>
      <c r="H107" s="8" t="s">
        <v>21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30">
        <v>45926</v>
      </c>
      <c r="B108" s="8" t="s">
        <v>100</v>
      </c>
      <c r="C108" s="8">
        <v>1</v>
      </c>
      <c r="D108" s="8">
        <v>30</v>
      </c>
      <c r="E108" s="8"/>
      <c r="F108" s="9">
        <f t="shared" si="6"/>
        <v>30</v>
      </c>
      <c r="G108" s="9">
        <f t="shared" si="7"/>
        <v>0</v>
      </c>
      <c r="H108" s="8" t="s">
        <v>9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30">
        <v>45927</v>
      </c>
      <c r="B109" s="8" t="s">
        <v>101</v>
      </c>
      <c r="C109" s="8">
        <v>1</v>
      </c>
      <c r="D109" s="8">
        <v>100</v>
      </c>
      <c r="E109" s="8"/>
      <c r="F109" s="9">
        <f t="shared" si="6"/>
        <v>100</v>
      </c>
      <c r="G109" s="9">
        <f t="shared" si="7"/>
        <v>0</v>
      </c>
      <c r="H109" s="8" t="s">
        <v>9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30">
        <v>45927</v>
      </c>
      <c r="B110" s="8" t="s">
        <v>102</v>
      </c>
      <c r="C110" s="8">
        <v>2</v>
      </c>
      <c r="D110" s="8">
        <v>40</v>
      </c>
      <c r="E110" s="8"/>
      <c r="F110" s="9">
        <f t="shared" si="6"/>
        <v>80</v>
      </c>
      <c r="G110" s="9">
        <f t="shared" si="7"/>
        <v>0</v>
      </c>
      <c r="H110" s="8" t="s">
        <v>9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30">
        <v>45927</v>
      </c>
      <c r="B111" s="8" t="s">
        <v>103</v>
      </c>
      <c r="C111" s="8">
        <v>1</v>
      </c>
      <c r="D111" s="8">
        <v>25</v>
      </c>
      <c r="E111" s="8"/>
      <c r="F111" s="9">
        <f t="shared" si="6"/>
        <v>25</v>
      </c>
      <c r="G111" s="9">
        <f t="shared" si="7"/>
        <v>0</v>
      </c>
      <c r="H111" s="8" t="s">
        <v>9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30">
        <v>45927</v>
      </c>
      <c r="B112" s="8" t="s">
        <v>104</v>
      </c>
      <c r="C112" s="8">
        <v>1</v>
      </c>
      <c r="D112" s="8">
        <v>30</v>
      </c>
      <c r="E112" s="8"/>
      <c r="F112" s="9">
        <f t="shared" si="6"/>
        <v>30</v>
      </c>
      <c r="G112" s="9">
        <f t="shared" si="7"/>
        <v>0</v>
      </c>
      <c r="H112" s="8" t="s">
        <v>9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30">
        <v>45927</v>
      </c>
      <c r="B113" s="8" t="s">
        <v>105</v>
      </c>
      <c r="C113" s="8">
        <v>1</v>
      </c>
      <c r="D113" s="8">
        <v>55</v>
      </c>
      <c r="E113" s="8"/>
      <c r="F113" s="9">
        <f t="shared" si="6"/>
        <v>55</v>
      </c>
      <c r="G113" s="9">
        <f t="shared" si="7"/>
        <v>0</v>
      </c>
      <c r="H113" s="8" t="s">
        <v>9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31">
        <v>45927</v>
      </c>
      <c r="B114" s="10" t="s">
        <v>106</v>
      </c>
      <c r="C114" s="10">
        <v>1</v>
      </c>
      <c r="D114" s="10">
        <v>50</v>
      </c>
      <c r="E114" s="10"/>
      <c r="F114" s="11">
        <f t="shared" si="6"/>
        <v>50</v>
      </c>
      <c r="G114" s="11">
        <f t="shared" si="7"/>
        <v>0</v>
      </c>
      <c r="H114" s="10" t="s">
        <v>9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>
      <c r="A115" s="30">
        <v>45927</v>
      </c>
      <c r="B115" s="8" t="s">
        <v>107</v>
      </c>
      <c r="C115" s="8">
        <v>1</v>
      </c>
      <c r="D115" s="8">
        <v>100</v>
      </c>
      <c r="E115" s="8"/>
      <c r="F115" s="9">
        <f t="shared" si="6"/>
        <v>100</v>
      </c>
      <c r="G115" s="9">
        <f t="shared" si="7"/>
        <v>0</v>
      </c>
      <c r="H115" s="8" t="s">
        <v>21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30">
        <v>45927</v>
      </c>
      <c r="B116" s="8" t="s">
        <v>108</v>
      </c>
      <c r="C116" s="8">
        <v>1</v>
      </c>
      <c r="D116" s="8">
        <v>90</v>
      </c>
      <c r="E116" s="8"/>
      <c r="F116" s="9">
        <f t="shared" si="6"/>
        <v>90</v>
      </c>
      <c r="G116" s="9">
        <f t="shared" si="7"/>
        <v>0</v>
      </c>
      <c r="H116" s="8" t="s">
        <v>21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30">
        <v>45927</v>
      </c>
      <c r="B117" s="8" t="s">
        <v>109</v>
      </c>
      <c r="C117" s="8">
        <v>3</v>
      </c>
      <c r="D117" s="8">
        <v>18</v>
      </c>
      <c r="E117" s="8"/>
      <c r="F117" s="9">
        <f t="shared" si="6"/>
        <v>54</v>
      </c>
      <c r="G117" s="9">
        <f t="shared" si="7"/>
        <v>0</v>
      </c>
      <c r="H117" s="8" t="s">
        <v>21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30">
        <v>45927</v>
      </c>
      <c r="B118" s="8" t="s">
        <v>110</v>
      </c>
      <c r="C118" s="8">
        <v>3</v>
      </c>
      <c r="D118" s="8">
        <v>18</v>
      </c>
      <c r="E118" s="8"/>
      <c r="F118" s="9">
        <f t="shared" si="6"/>
        <v>54</v>
      </c>
      <c r="G118" s="9">
        <f t="shared" si="7"/>
        <v>0</v>
      </c>
      <c r="H118" s="8" t="s">
        <v>21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30">
        <v>45927</v>
      </c>
      <c r="B119" s="8" t="s">
        <v>111</v>
      </c>
      <c r="C119" s="8">
        <v>1</v>
      </c>
      <c r="D119" s="8">
        <v>90</v>
      </c>
      <c r="E119" s="8"/>
      <c r="F119" s="9">
        <f t="shared" si="6"/>
        <v>90</v>
      </c>
      <c r="G119" s="9">
        <f t="shared" si="7"/>
        <v>0</v>
      </c>
      <c r="H119" s="8" t="s">
        <v>21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30">
        <v>45927</v>
      </c>
      <c r="B120" s="8" t="s">
        <v>112</v>
      </c>
      <c r="C120" s="8">
        <v>2</v>
      </c>
      <c r="D120" s="8">
        <v>40</v>
      </c>
      <c r="E120" s="8"/>
      <c r="F120" s="9">
        <f t="shared" si="6"/>
        <v>80</v>
      </c>
      <c r="G120" s="9">
        <f t="shared" si="7"/>
        <v>0</v>
      </c>
      <c r="H120" s="8" t="s">
        <v>21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29">
        <v>45928</v>
      </c>
      <c r="B121" s="8" t="s">
        <v>87</v>
      </c>
      <c r="C121" s="8">
        <v>1</v>
      </c>
      <c r="D121" s="8">
        <v>50</v>
      </c>
      <c r="E121" s="8"/>
      <c r="F121" s="9">
        <f t="shared" si="6"/>
        <v>50</v>
      </c>
      <c r="G121" s="9">
        <f t="shared" si="7"/>
        <v>0</v>
      </c>
      <c r="H121" s="8" t="s">
        <v>21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29">
        <v>45928</v>
      </c>
      <c r="B122" s="8" t="s">
        <v>113</v>
      </c>
      <c r="C122" s="8">
        <v>1</v>
      </c>
      <c r="D122" s="8">
        <v>190</v>
      </c>
      <c r="E122" s="8"/>
      <c r="F122" s="9">
        <f t="shared" si="6"/>
        <v>190</v>
      </c>
      <c r="G122" s="9">
        <f t="shared" si="7"/>
        <v>0</v>
      </c>
      <c r="H122" s="8" t="s">
        <v>21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29">
        <v>45928</v>
      </c>
      <c r="B123" s="8" t="s">
        <v>114</v>
      </c>
      <c r="C123" s="8">
        <v>4</v>
      </c>
      <c r="D123" s="8">
        <v>30</v>
      </c>
      <c r="E123" s="8"/>
      <c r="F123" s="9">
        <f t="shared" si="6"/>
        <v>120</v>
      </c>
      <c r="G123" s="9">
        <f t="shared" si="7"/>
        <v>0</v>
      </c>
      <c r="H123" s="8" t="s">
        <v>21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29">
        <v>45928</v>
      </c>
      <c r="B124" s="8" t="s">
        <v>29</v>
      </c>
      <c r="C124" s="8">
        <v>5</v>
      </c>
      <c r="D124" s="8">
        <v>10</v>
      </c>
      <c r="E124" s="8"/>
      <c r="F124" s="9">
        <f t="shared" si="6"/>
        <v>50</v>
      </c>
      <c r="G124" s="9">
        <f t="shared" si="7"/>
        <v>0</v>
      </c>
      <c r="H124" s="8" t="s">
        <v>21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29">
        <v>45928</v>
      </c>
      <c r="B125" s="8" t="s">
        <v>30</v>
      </c>
      <c r="C125" s="8">
        <v>1</v>
      </c>
      <c r="D125" s="8">
        <v>60</v>
      </c>
      <c r="E125" s="8"/>
      <c r="F125" s="9">
        <f t="shared" si="6"/>
        <v>60</v>
      </c>
      <c r="G125" s="9">
        <f t="shared" si="7"/>
        <v>0</v>
      </c>
      <c r="H125" s="8" t="s">
        <v>9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29">
        <v>45929</v>
      </c>
      <c r="B126" s="8" t="s">
        <v>115</v>
      </c>
      <c r="C126" s="8">
        <v>2</v>
      </c>
      <c r="D126" s="8">
        <v>30</v>
      </c>
      <c r="E126" s="8"/>
      <c r="F126" s="9">
        <f t="shared" si="6"/>
        <v>60</v>
      </c>
      <c r="G126" s="9">
        <f t="shared" si="7"/>
        <v>0</v>
      </c>
      <c r="H126" s="8" t="s">
        <v>21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29">
        <v>45929</v>
      </c>
      <c r="B127" s="8" t="s">
        <v>116</v>
      </c>
      <c r="C127" s="8">
        <v>2</v>
      </c>
      <c r="D127" s="8">
        <v>30</v>
      </c>
      <c r="E127" s="8"/>
      <c r="F127" s="9">
        <f t="shared" si="6"/>
        <v>60</v>
      </c>
      <c r="G127" s="9">
        <f t="shared" si="7"/>
        <v>0</v>
      </c>
      <c r="H127" s="8" t="s">
        <v>9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29">
        <v>45930</v>
      </c>
      <c r="B128" s="8" t="s">
        <v>117</v>
      </c>
      <c r="C128" s="8">
        <v>1</v>
      </c>
      <c r="D128" s="8">
        <v>55</v>
      </c>
      <c r="E128" s="8">
        <f>5/55*100</f>
        <v>9.0909090909090899</v>
      </c>
      <c r="F128" s="9">
        <f t="shared" si="6"/>
        <v>50</v>
      </c>
      <c r="G128" s="9">
        <f t="shared" si="7"/>
        <v>5</v>
      </c>
      <c r="H128" s="8" t="s">
        <v>21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29">
        <v>45930</v>
      </c>
      <c r="B129" s="8" t="s">
        <v>118</v>
      </c>
      <c r="C129" s="8">
        <v>2</v>
      </c>
      <c r="D129" s="8">
        <v>20</v>
      </c>
      <c r="E129" s="8">
        <f>5/40*100</f>
        <v>12.5</v>
      </c>
      <c r="F129" s="9">
        <f t="shared" si="6"/>
        <v>35</v>
      </c>
      <c r="G129" s="9">
        <f t="shared" si="7"/>
        <v>5</v>
      </c>
      <c r="H129" s="8" t="s">
        <v>21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29">
        <v>45930</v>
      </c>
      <c r="B130" s="8" t="s">
        <v>20</v>
      </c>
      <c r="C130" s="8">
        <v>1</v>
      </c>
      <c r="D130" s="8">
        <v>70</v>
      </c>
      <c r="E130" s="8">
        <f>5/70*100</f>
        <v>7.1428571428571397</v>
      </c>
      <c r="F130" s="9">
        <f t="shared" si="6"/>
        <v>65</v>
      </c>
      <c r="G130" s="9">
        <f t="shared" si="7"/>
        <v>5</v>
      </c>
      <c r="H130" s="8" t="s">
        <v>21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29">
        <v>45930</v>
      </c>
      <c r="B131" s="8" t="s">
        <v>24</v>
      </c>
      <c r="C131" s="8">
        <v>2</v>
      </c>
      <c r="D131" s="8">
        <v>10</v>
      </c>
      <c r="E131" s="8"/>
      <c r="F131" s="9">
        <f t="shared" si="6"/>
        <v>20</v>
      </c>
      <c r="G131" s="9">
        <f t="shared" si="7"/>
        <v>0</v>
      </c>
      <c r="H131" s="8" t="s">
        <v>9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29">
        <v>45930</v>
      </c>
      <c r="B132" s="8" t="s">
        <v>61</v>
      </c>
      <c r="C132" s="8">
        <v>4</v>
      </c>
      <c r="D132" s="8">
        <v>20</v>
      </c>
      <c r="E132" s="8"/>
      <c r="F132" s="9">
        <f t="shared" si="6"/>
        <v>80</v>
      </c>
      <c r="G132" s="9">
        <f t="shared" si="7"/>
        <v>0</v>
      </c>
      <c r="H132" s="8" t="s">
        <v>21</v>
      </c>
      <c r="I132" s="8" t="s">
        <v>119</v>
      </c>
      <c r="J132" s="8" t="s">
        <v>120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29">
        <v>45930</v>
      </c>
      <c r="B133" s="8" t="s">
        <v>121</v>
      </c>
      <c r="C133" s="8">
        <v>1</v>
      </c>
      <c r="D133" s="8">
        <v>25</v>
      </c>
      <c r="E133" s="8"/>
      <c r="F133" s="9">
        <f t="shared" si="6"/>
        <v>25</v>
      </c>
      <c r="G133" s="9">
        <f t="shared" si="7"/>
        <v>0</v>
      </c>
      <c r="H133" s="8" t="s">
        <v>9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29">
        <v>45930</v>
      </c>
      <c r="B134" t="s">
        <v>24</v>
      </c>
      <c r="C134">
        <v>1</v>
      </c>
      <c r="D134">
        <v>10</v>
      </c>
      <c r="F134" s="9">
        <f t="shared" si="6"/>
        <v>10</v>
      </c>
      <c r="G134" s="9">
        <f t="shared" si="7"/>
        <v>0</v>
      </c>
      <c r="H134" s="8" t="s">
        <v>9</v>
      </c>
    </row>
    <row r="135" spans="1:26" ht="15.75" customHeight="1">
      <c r="A135" s="29">
        <v>45930</v>
      </c>
      <c r="B135" t="s">
        <v>26</v>
      </c>
      <c r="C135">
        <v>2</v>
      </c>
      <c r="D135">
        <v>110</v>
      </c>
      <c r="F135" s="9">
        <f t="shared" si="6"/>
        <v>220</v>
      </c>
      <c r="G135" s="9">
        <f t="shared" si="7"/>
        <v>0</v>
      </c>
      <c r="H135" s="8" t="s">
        <v>9</v>
      </c>
    </row>
    <row r="136" spans="1:26" ht="15.75" customHeight="1">
      <c r="A136" s="30">
        <v>45930</v>
      </c>
      <c r="B136" t="s">
        <v>122</v>
      </c>
      <c r="C136">
        <v>1</v>
      </c>
      <c r="D136">
        <v>30</v>
      </c>
      <c r="F136" s="9">
        <f t="shared" si="6"/>
        <v>30</v>
      </c>
      <c r="G136" s="9">
        <f t="shared" si="7"/>
        <v>0</v>
      </c>
      <c r="H136" s="8" t="s">
        <v>9</v>
      </c>
    </row>
    <row r="137" spans="1:26" ht="15.75" customHeight="1">
      <c r="A137" s="30">
        <v>45930</v>
      </c>
      <c r="B137" t="s">
        <v>40</v>
      </c>
      <c r="C137">
        <v>1</v>
      </c>
      <c r="D137">
        <v>20</v>
      </c>
      <c r="F137" s="9">
        <f t="shared" si="6"/>
        <v>20</v>
      </c>
      <c r="G137" s="9">
        <f t="shared" si="7"/>
        <v>0</v>
      </c>
      <c r="H137" s="8" t="s">
        <v>9</v>
      </c>
    </row>
    <row r="138" spans="1:26" ht="15.75" customHeight="1">
      <c r="A138" s="30">
        <v>45930</v>
      </c>
      <c r="B138" t="s">
        <v>123</v>
      </c>
      <c r="C138">
        <v>1</v>
      </c>
      <c r="D138">
        <v>110</v>
      </c>
      <c r="E138" s="4">
        <f>10/110*100</f>
        <v>9.0909090909090899</v>
      </c>
      <c r="F138" s="9">
        <f t="shared" si="6"/>
        <v>100</v>
      </c>
      <c r="G138" s="9">
        <f t="shared" si="7"/>
        <v>10</v>
      </c>
      <c r="H138" s="8" t="s">
        <v>9</v>
      </c>
    </row>
    <row r="139" spans="1:26" ht="15.75" customHeight="1">
      <c r="A139" s="30">
        <v>45930</v>
      </c>
      <c r="B139" t="s">
        <v>124</v>
      </c>
      <c r="C139">
        <v>1</v>
      </c>
      <c r="D139">
        <v>20</v>
      </c>
      <c r="F139" s="9">
        <f t="shared" si="6"/>
        <v>20</v>
      </c>
      <c r="G139" s="9">
        <f t="shared" si="7"/>
        <v>0</v>
      </c>
      <c r="H139" s="8" t="s">
        <v>9</v>
      </c>
    </row>
    <row r="140" spans="1:26" ht="15.75" customHeight="1">
      <c r="A140" s="31">
        <v>45931</v>
      </c>
      <c r="B140" s="6" t="s">
        <v>125</v>
      </c>
      <c r="C140" s="6">
        <v>1</v>
      </c>
      <c r="D140" s="6">
        <v>15</v>
      </c>
      <c r="E140" s="7"/>
      <c r="F140" s="11">
        <f t="shared" si="6"/>
        <v>15</v>
      </c>
      <c r="G140" s="11">
        <f t="shared" si="7"/>
        <v>0</v>
      </c>
      <c r="H140" s="10" t="s">
        <v>9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30">
        <v>45932</v>
      </c>
      <c r="B141" t="s">
        <v>126</v>
      </c>
      <c r="C141">
        <v>6</v>
      </c>
      <c r="D141">
        <v>28</v>
      </c>
      <c r="E141" s="4">
        <f>18/168*100</f>
        <v>10.714285714285699</v>
      </c>
      <c r="F141" s="9">
        <f t="shared" si="6"/>
        <v>150</v>
      </c>
      <c r="G141" s="9">
        <f t="shared" si="7"/>
        <v>18</v>
      </c>
      <c r="H141" s="8" t="s">
        <v>21</v>
      </c>
    </row>
    <row r="142" spans="1:26" ht="15.75" customHeight="1">
      <c r="A142" s="30">
        <v>45932</v>
      </c>
      <c r="B142" t="s">
        <v>127</v>
      </c>
      <c r="C142">
        <v>1</v>
      </c>
      <c r="D142">
        <v>60</v>
      </c>
      <c r="E142" s="4">
        <f>10/60*100</f>
        <v>16.6666666666667</v>
      </c>
      <c r="F142" s="9">
        <f t="shared" si="6"/>
        <v>50</v>
      </c>
      <c r="G142" s="9">
        <f t="shared" si="7"/>
        <v>10</v>
      </c>
      <c r="H142" s="8" t="s">
        <v>21</v>
      </c>
    </row>
    <row r="143" spans="1:26" ht="15.75" customHeight="1">
      <c r="A143" s="30">
        <v>45932</v>
      </c>
      <c r="B143" t="s">
        <v>128</v>
      </c>
      <c r="C143">
        <v>1</v>
      </c>
      <c r="D143">
        <v>90</v>
      </c>
      <c r="F143" s="9">
        <f t="shared" si="6"/>
        <v>90</v>
      </c>
      <c r="G143" s="9">
        <f t="shared" si="7"/>
        <v>0</v>
      </c>
      <c r="H143" s="8" t="s">
        <v>21</v>
      </c>
    </row>
    <row r="144" spans="1:26" ht="15.75" customHeight="1">
      <c r="A144" s="30">
        <v>45932</v>
      </c>
      <c r="B144" t="s">
        <v>129</v>
      </c>
      <c r="C144">
        <v>2</v>
      </c>
      <c r="D144">
        <v>30</v>
      </c>
      <c r="F144" s="9">
        <f t="shared" si="6"/>
        <v>60</v>
      </c>
      <c r="G144" s="9">
        <f t="shared" si="7"/>
        <v>0</v>
      </c>
      <c r="H144" s="8" t="s">
        <v>9</v>
      </c>
      <c r="I144" t="s">
        <v>130</v>
      </c>
    </row>
    <row r="145" spans="1:26" ht="15.75" customHeight="1">
      <c r="A145" s="30">
        <v>45932</v>
      </c>
      <c r="B145" t="s">
        <v>131</v>
      </c>
      <c r="C145">
        <v>1</v>
      </c>
      <c r="D145">
        <v>30</v>
      </c>
      <c r="F145" s="9">
        <f t="shared" si="6"/>
        <v>30</v>
      </c>
      <c r="G145" s="9">
        <f t="shared" si="7"/>
        <v>0</v>
      </c>
      <c r="H145" s="8" t="s">
        <v>9</v>
      </c>
    </row>
    <row r="146" spans="1:26" ht="15.75" customHeight="1">
      <c r="A146" s="30">
        <v>45932</v>
      </c>
      <c r="B146" t="s">
        <v>132</v>
      </c>
      <c r="C146">
        <v>6</v>
      </c>
      <c r="D146">
        <v>25</v>
      </c>
      <c r="E146" s="4">
        <f>10/150*100</f>
        <v>6.6666666666666696</v>
      </c>
      <c r="F146" s="9">
        <f t="shared" si="6"/>
        <v>140</v>
      </c>
      <c r="G146" s="9">
        <f t="shared" si="7"/>
        <v>10</v>
      </c>
      <c r="H146" s="8" t="s">
        <v>9</v>
      </c>
    </row>
    <row r="147" spans="1:26" ht="15.75" customHeight="1">
      <c r="A147" s="30">
        <v>45932</v>
      </c>
      <c r="B147" t="s">
        <v>133</v>
      </c>
      <c r="C147">
        <v>1</v>
      </c>
      <c r="D147">
        <v>55</v>
      </c>
      <c r="E147" s="4">
        <f>5/55*100</f>
        <v>9.0909090909090899</v>
      </c>
      <c r="F147" s="9">
        <f t="shared" si="6"/>
        <v>50</v>
      </c>
      <c r="G147" s="9">
        <f t="shared" si="7"/>
        <v>5</v>
      </c>
      <c r="H147" s="8" t="s">
        <v>9</v>
      </c>
    </row>
    <row r="148" spans="1:26" ht="15.75" customHeight="1">
      <c r="A148" s="30">
        <v>45932</v>
      </c>
      <c r="B148" t="s">
        <v>128</v>
      </c>
      <c r="C148">
        <v>2</v>
      </c>
      <c r="D148">
        <v>90</v>
      </c>
      <c r="E148" s="4">
        <f>20/180*100</f>
        <v>11.1111111111111</v>
      </c>
      <c r="F148" s="9">
        <f t="shared" si="6"/>
        <v>160</v>
      </c>
      <c r="G148" s="9">
        <f t="shared" si="7"/>
        <v>20</v>
      </c>
      <c r="H148" s="8" t="s">
        <v>9</v>
      </c>
    </row>
    <row r="149" spans="1:26" ht="15.75" customHeight="1">
      <c r="A149" s="30">
        <v>45932</v>
      </c>
      <c r="B149" t="s">
        <v>134</v>
      </c>
      <c r="C149">
        <v>2</v>
      </c>
      <c r="D149">
        <v>60</v>
      </c>
      <c r="E149" s="4">
        <f>10/60*100</f>
        <v>16.6666666666667</v>
      </c>
      <c r="F149" s="9">
        <f t="shared" si="6"/>
        <v>100</v>
      </c>
      <c r="G149" s="9">
        <f t="shared" si="7"/>
        <v>20</v>
      </c>
      <c r="H149" s="8" t="s">
        <v>9</v>
      </c>
    </row>
    <row r="150" spans="1:26" ht="15.75" customHeight="1">
      <c r="A150" s="30">
        <v>45932</v>
      </c>
      <c r="B150" t="s">
        <v>135</v>
      </c>
      <c r="C150">
        <v>1</v>
      </c>
      <c r="D150">
        <v>55</v>
      </c>
      <c r="F150" s="9">
        <f t="shared" si="6"/>
        <v>55</v>
      </c>
      <c r="G150" s="9">
        <f t="shared" si="7"/>
        <v>0</v>
      </c>
      <c r="H150" s="8" t="s">
        <v>9</v>
      </c>
      <c r="I150" t="s">
        <v>136</v>
      </c>
    </row>
    <row r="151" spans="1:26" ht="15.75" customHeight="1">
      <c r="A151" s="30">
        <v>45932</v>
      </c>
      <c r="B151" t="s">
        <v>137</v>
      </c>
      <c r="C151">
        <v>1</v>
      </c>
      <c r="D151">
        <v>60</v>
      </c>
      <c r="E151" s="4">
        <f>20/60*100</f>
        <v>33.3333333333333</v>
      </c>
      <c r="F151" s="9">
        <f t="shared" si="6"/>
        <v>40</v>
      </c>
      <c r="G151" s="9">
        <f t="shared" si="7"/>
        <v>20</v>
      </c>
      <c r="H151" s="8" t="s">
        <v>9</v>
      </c>
    </row>
    <row r="152" spans="1:26" ht="15.75" customHeight="1">
      <c r="A152" s="32">
        <v>45932</v>
      </c>
      <c r="B152" s="12" t="s">
        <v>138</v>
      </c>
      <c r="C152" s="12">
        <v>1</v>
      </c>
      <c r="D152" s="12">
        <v>40</v>
      </c>
      <c r="E152" s="13"/>
      <c r="F152" s="14">
        <f t="shared" si="6"/>
        <v>40</v>
      </c>
      <c r="G152" s="14">
        <f t="shared" si="7"/>
        <v>0</v>
      </c>
      <c r="H152" s="15" t="s">
        <v>9</v>
      </c>
      <c r="I152" s="13"/>
      <c r="J152" s="13"/>
      <c r="K152" s="13"/>
      <c r="L152" s="13"/>
      <c r="M152" s="13"/>
      <c r="N152" s="13"/>
      <c r="O152" s="13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>
      <c r="A153" s="30">
        <v>45900</v>
      </c>
      <c r="B153" t="s">
        <v>139</v>
      </c>
      <c r="C153">
        <v>1</v>
      </c>
      <c r="D153">
        <v>80</v>
      </c>
      <c r="F153" s="9">
        <f t="shared" si="6"/>
        <v>80</v>
      </c>
      <c r="G153" s="9">
        <f t="shared" si="7"/>
        <v>0</v>
      </c>
      <c r="H153" s="8" t="s">
        <v>9</v>
      </c>
    </row>
    <row r="154" spans="1:26" ht="15.75" customHeight="1">
      <c r="A154" s="30">
        <v>45900</v>
      </c>
      <c r="B154" t="s">
        <v>55</v>
      </c>
      <c r="C154">
        <v>1</v>
      </c>
      <c r="D154">
        <v>50</v>
      </c>
      <c r="E154" s="4">
        <f>10/50*100</f>
        <v>20</v>
      </c>
      <c r="F154" s="9">
        <f t="shared" si="6"/>
        <v>40</v>
      </c>
      <c r="G154" s="9">
        <f t="shared" si="7"/>
        <v>10</v>
      </c>
      <c r="H154" s="8" t="s">
        <v>21</v>
      </c>
    </row>
    <row r="155" spans="1:26" ht="15.75" customHeight="1">
      <c r="A155" s="30">
        <v>45900</v>
      </c>
      <c r="B155" t="s">
        <v>140</v>
      </c>
      <c r="C155">
        <v>1</v>
      </c>
      <c r="D155">
        <v>40</v>
      </c>
      <c r="E155" s="4">
        <f>5/40*100</f>
        <v>12.5</v>
      </c>
      <c r="F155" s="9">
        <f t="shared" si="6"/>
        <v>35</v>
      </c>
      <c r="G155" s="9">
        <f t="shared" si="7"/>
        <v>5</v>
      </c>
      <c r="H155" s="8" t="s">
        <v>21</v>
      </c>
    </row>
    <row r="156" spans="1:26" ht="15.75" customHeight="1">
      <c r="A156" s="30">
        <v>45900</v>
      </c>
      <c r="B156" t="s">
        <v>22</v>
      </c>
      <c r="C156">
        <v>1</v>
      </c>
      <c r="D156">
        <v>55</v>
      </c>
      <c r="F156" s="9">
        <f t="shared" si="6"/>
        <v>55</v>
      </c>
      <c r="G156" s="9">
        <f t="shared" si="7"/>
        <v>0</v>
      </c>
      <c r="H156" s="8" t="s">
        <v>9</v>
      </c>
    </row>
    <row r="157" spans="1:26" ht="15.75" customHeight="1">
      <c r="A157" s="30">
        <v>45900</v>
      </c>
      <c r="B157" t="s">
        <v>141</v>
      </c>
      <c r="C157">
        <v>2</v>
      </c>
      <c r="D157">
        <v>10</v>
      </c>
      <c r="E157" s="4">
        <f>5/20*100</f>
        <v>25</v>
      </c>
      <c r="F157" s="9">
        <f t="shared" si="6"/>
        <v>15</v>
      </c>
      <c r="G157" s="9">
        <f t="shared" si="7"/>
        <v>5</v>
      </c>
      <c r="H157" s="8" t="s">
        <v>9</v>
      </c>
    </row>
    <row r="158" spans="1:26" ht="15.75" customHeight="1">
      <c r="A158" s="30">
        <v>45900</v>
      </c>
      <c r="B158" t="s">
        <v>142</v>
      </c>
      <c r="C158">
        <v>2</v>
      </c>
      <c r="D158">
        <v>15</v>
      </c>
      <c r="F158" s="9">
        <f t="shared" si="6"/>
        <v>30</v>
      </c>
      <c r="G158" s="9">
        <f t="shared" si="7"/>
        <v>0</v>
      </c>
      <c r="H158" s="8" t="s">
        <v>9</v>
      </c>
    </row>
    <row r="159" spans="1:26" ht="15.75" customHeight="1">
      <c r="A159" s="30">
        <v>45901</v>
      </c>
      <c r="B159" t="s">
        <v>143</v>
      </c>
      <c r="C159">
        <v>1</v>
      </c>
      <c r="D159">
        <v>25</v>
      </c>
      <c r="F159" s="9">
        <f t="shared" si="6"/>
        <v>25</v>
      </c>
      <c r="G159" s="9">
        <f t="shared" si="7"/>
        <v>0</v>
      </c>
      <c r="H159" s="8" t="s">
        <v>9</v>
      </c>
    </row>
    <row r="160" spans="1:26" ht="15.75" customHeight="1">
      <c r="A160" s="30">
        <v>45901</v>
      </c>
      <c r="B160" t="s">
        <v>144</v>
      </c>
      <c r="C160">
        <v>6</v>
      </c>
      <c r="D160">
        <v>28</v>
      </c>
      <c r="E160" s="4">
        <f>25/168*100</f>
        <v>14.880952380952399</v>
      </c>
      <c r="F160" s="9">
        <f t="shared" si="6"/>
        <v>143</v>
      </c>
      <c r="G160" s="9">
        <f t="shared" si="7"/>
        <v>25</v>
      </c>
      <c r="H160" s="8" t="s">
        <v>21</v>
      </c>
    </row>
    <row r="161" spans="1:26" ht="15.75" customHeight="1">
      <c r="A161" s="30">
        <v>45901</v>
      </c>
      <c r="B161" t="s">
        <v>50</v>
      </c>
      <c r="C161">
        <v>6</v>
      </c>
      <c r="D161">
        <v>18</v>
      </c>
      <c r="E161" s="4">
        <f>26/108*100</f>
        <v>24.074074074074101</v>
      </c>
      <c r="F161" s="9">
        <f t="shared" si="6"/>
        <v>82</v>
      </c>
      <c r="G161" s="9">
        <f t="shared" si="7"/>
        <v>26</v>
      </c>
      <c r="H161" s="8" t="s">
        <v>21</v>
      </c>
    </row>
    <row r="162" spans="1:26" ht="15.75" customHeight="1">
      <c r="A162" s="33">
        <v>45901</v>
      </c>
      <c r="B162" s="16" t="s">
        <v>145</v>
      </c>
      <c r="C162" s="16">
        <v>2</v>
      </c>
      <c r="D162" s="16">
        <v>30</v>
      </c>
      <c r="E162" s="17"/>
      <c r="F162" s="18">
        <f t="shared" si="6"/>
        <v>60</v>
      </c>
      <c r="G162" s="18">
        <f t="shared" si="7"/>
        <v>0</v>
      </c>
      <c r="H162" s="19" t="s">
        <v>21</v>
      </c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30">
        <v>45901</v>
      </c>
      <c r="B163" t="s">
        <v>146</v>
      </c>
      <c r="C163">
        <v>1</v>
      </c>
      <c r="D163">
        <v>30</v>
      </c>
      <c r="E163" s="4">
        <f>5/30*100</f>
        <v>16.6666666666667</v>
      </c>
      <c r="F163" s="9">
        <f t="shared" si="6"/>
        <v>25</v>
      </c>
      <c r="G163" s="9">
        <f t="shared" si="7"/>
        <v>5</v>
      </c>
      <c r="H163" s="8" t="s">
        <v>21</v>
      </c>
    </row>
    <row r="164" spans="1:26" ht="15.75" customHeight="1">
      <c r="A164" s="30">
        <v>45901</v>
      </c>
      <c r="B164" t="s">
        <v>147</v>
      </c>
      <c r="C164">
        <v>1</v>
      </c>
      <c r="D164">
        <v>20</v>
      </c>
      <c r="E164">
        <v>100</v>
      </c>
      <c r="F164" s="9">
        <f t="shared" si="6"/>
        <v>0</v>
      </c>
      <c r="G164" s="9">
        <f t="shared" si="7"/>
        <v>20</v>
      </c>
      <c r="H164" s="8" t="s">
        <v>21</v>
      </c>
    </row>
    <row r="165" spans="1:26" ht="15.75" customHeight="1">
      <c r="A165" s="30">
        <v>45902</v>
      </c>
      <c r="B165" t="s">
        <v>148</v>
      </c>
      <c r="C165">
        <v>1</v>
      </c>
      <c r="D165">
        <v>40</v>
      </c>
      <c r="F165" s="9">
        <f t="shared" si="6"/>
        <v>40</v>
      </c>
      <c r="G165" s="9">
        <f t="shared" si="7"/>
        <v>0</v>
      </c>
      <c r="H165" s="8" t="s">
        <v>9</v>
      </c>
    </row>
    <row r="166" spans="1:26" ht="15.75" customHeight="1">
      <c r="A166" s="30">
        <v>45902</v>
      </c>
      <c r="B166" t="s">
        <v>22</v>
      </c>
      <c r="C166">
        <v>1</v>
      </c>
      <c r="D166">
        <v>55</v>
      </c>
      <c r="F166" s="9">
        <f t="shared" si="6"/>
        <v>55</v>
      </c>
      <c r="G166" s="9">
        <f t="shared" si="7"/>
        <v>0</v>
      </c>
      <c r="H166" s="8" t="s">
        <v>21</v>
      </c>
    </row>
    <row r="167" spans="1:26" ht="15.75" customHeight="1">
      <c r="A167" s="30">
        <v>45902</v>
      </c>
      <c r="B167" t="s">
        <v>40</v>
      </c>
      <c r="C167">
        <v>2</v>
      </c>
      <c r="D167">
        <v>20</v>
      </c>
      <c r="E167">
        <f>10/40*100</f>
        <v>25</v>
      </c>
      <c r="F167" s="9">
        <f t="shared" si="6"/>
        <v>30</v>
      </c>
      <c r="G167" s="9">
        <f t="shared" si="7"/>
        <v>10</v>
      </c>
      <c r="H167" s="8" t="s">
        <v>9</v>
      </c>
    </row>
    <row r="168" spans="1:26" ht="15.75" customHeight="1">
      <c r="A168" s="30">
        <v>45902</v>
      </c>
      <c r="B168" t="s">
        <v>23</v>
      </c>
      <c r="C168">
        <v>1</v>
      </c>
      <c r="D168">
        <v>70</v>
      </c>
      <c r="F168" s="9">
        <f t="shared" si="6"/>
        <v>70</v>
      </c>
      <c r="G168" s="9">
        <f t="shared" si="7"/>
        <v>0</v>
      </c>
      <c r="H168" s="8" t="s">
        <v>9</v>
      </c>
    </row>
    <row r="169" spans="1:26" ht="15.75" customHeight="1">
      <c r="A169" s="30">
        <v>45902</v>
      </c>
      <c r="B169" t="s">
        <v>51</v>
      </c>
      <c r="C169">
        <v>1</v>
      </c>
      <c r="D169">
        <v>55</v>
      </c>
      <c r="E169" s="4">
        <f>5/55*100</f>
        <v>9.0909090909090899</v>
      </c>
      <c r="F169" s="9">
        <f t="shared" si="6"/>
        <v>50</v>
      </c>
      <c r="G169" s="9">
        <f t="shared" si="7"/>
        <v>5</v>
      </c>
      <c r="H169" s="8" t="s">
        <v>9</v>
      </c>
    </row>
    <row r="170" spans="1:26" ht="15.75" customHeight="1">
      <c r="A170" s="30">
        <v>45902</v>
      </c>
      <c r="B170" t="s">
        <v>53</v>
      </c>
      <c r="C170">
        <v>6</v>
      </c>
      <c r="D170">
        <v>18</v>
      </c>
      <c r="E170" s="4">
        <f>18/108*100</f>
        <v>16.6666666666667</v>
      </c>
      <c r="F170" s="9">
        <f t="shared" si="6"/>
        <v>90</v>
      </c>
      <c r="G170" s="9">
        <f t="shared" si="7"/>
        <v>18</v>
      </c>
      <c r="H170" s="8" t="s">
        <v>9</v>
      </c>
    </row>
    <row r="171" spans="1:26" ht="15.75" customHeight="1">
      <c r="A171" s="30">
        <v>45902</v>
      </c>
      <c r="B171" t="s">
        <v>55</v>
      </c>
      <c r="C171">
        <v>1</v>
      </c>
      <c r="D171">
        <v>50</v>
      </c>
      <c r="E171">
        <v>20</v>
      </c>
      <c r="F171" s="9">
        <f t="shared" si="6"/>
        <v>40</v>
      </c>
      <c r="G171" s="9">
        <f t="shared" si="7"/>
        <v>10</v>
      </c>
      <c r="H171" s="8" t="s">
        <v>9</v>
      </c>
    </row>
    <row r="172" spans="1:26" ht="15.75" customHeight="1">
      <c r="A172" s="30">
        <v>45902</v>
      </c>
      <c r="B172" t="s">
        <v>149</v>
      </c>
      <c r="C172">
        <v>1</v>
      </c>
      <c r="D172">
        <v>30</v>
      </c>
      <c r="E172" s="4">
        <f>10/30*100</f>
        <v>33.3333333333333</v>
      </c>
      <c r="F172" s="9">
        <f t="shared" si="6"/>
        <v>20</v>
      </c>
      <c r="G172" s="9">
        <f t="shared" si="7"/>
        <v>10</v>
      </c>
      <c r="H172" s="8" t="s">
        <v>9</v>
      </c>
    </row>
    <row r="173" spans="1:26" ht="15.75" customHeight="1">
      <c r="A173" s="30">
        <v>45902</v>
      </c>
      <c r="B173" t="s">
        <v>150</v>
      </c>
      <c r="C173">
        <v>1</v>
      </c>
      <c r="D173">
        <v>60</v>
      </c>
      <c r="E173" s="4">
        <f>15/60*100</f>
        <v>25</v>
      </c>
      <c r="F173" s="9">
        <f t="shared" si="6"/>
        <v>45</v>
      </c>
      <c r="G173" s="9">
        <f t="shared" si="7"/>
        <v>15</v>
      </c>
      <c r="H173" s="8" t="s">
        <v>9</v>
      </c>
    </row>
    <row r="174" spans="1:26" ht="15.75" customHeight="1">
      <c r="A174" s="30">
        <v>45903</v>
      </c>
      <c r="B174" t="s">
        <v>151</v>
      </c>
      <c r="C174">
        <v>1</v>
      </c>
      <c r="D174">
        <v>10</v>
      </c>
      <c r="F174" s="9">
        <f t="shared" si="6"/>
        <v>10</v>
      </c>
      <c r="G174" s="9">
        <f t="shared" si="7"/>
        <v>0</v>
      </c>
      <c r="H174" s="8" t="s">
        <v>9</v>
      </c>
    </row>
    <row r="175" spans="1:26" ht="15.75" customHeight="1">
      <c r="A175" s="30">
        <v>45903</v>
      </c>
      <c r="B175" t="s">
        <v>152</v>
      </c>
      <c r="C175">
        <v>1</v>
      </c>
      <c r="D175">
        <v>10</v>
      </c>
      <c r="F175" s="9">
        <f t="shared" si="6"/>
        <v>10</v>
      </c>
      <c r="G175" s="9">
        <f t="shared" si="7"/>
        <v>0</v>
      </c>
      <c r="H175" s="8" t="s">
        <v>9</v>
      </c>
    </row>
    <row r="176" spans="1:26" ht="15.75" customHeight="1">
      <c r="A176" s="30">
        <v>45903</v>
      </c>
      <c r="B176" t="s">
        <v>149</v>
      </c>
      <c r="C176">
        <v>2</v>
      </c>
      <c r="D176">
        <v>30</v>
      </c>
      <c r="F176" s="9">
        <f t="shared" si="6"/>
        <v>60</v>
      </c>
      <c r="G176" s="9">
        <f t="shared" si="7"/>
        <v>0</v>
      </c>
      <c r="H176" s="8" t="s">
        <v>9</v>
      </c>
    </row>
    <row r="177" spans="1:26" ht="15.75" customHeight="1">
      <c r="A177" s="30">
        <v>45903</v>
      </c>
      <c r="B177" t="s">
        <v>153</v>
      </c>
      <c r="C177">
        <v>1</v>
      </c>
      <c r="D177">
        <v>20</v>
      </c>
      <c r="F177" s="9">
        <f t="shared" si="6"/>
        <v>20</v>
      </c>
      <c r="G177" s="9">
        <f t="shared" si="7"/>
        <v>0</v>
      </c>
      <c r="H177" s="8" t="s">
        <v>9</v>
      </c>
    </row>
    <row r="178" spans="1:26" ht="15.75" customHeight="1">
      <c r="A178" s="30">
        <v>45903</v>
      </c>
      <c r="B178" t="s">
        <v>154</v>
      </c>
      <c r="C178">
        <v>1</v>
      </c>
      <c r="D178">
        <v>20</v>
      </c>
      <c r="F178" s="9">
        <f t="shared" si="6"/>
        <v>20</v>
      </c>
      <c r="G178" s="9">
        <f t="shared" si="7"/>
        <v>0</v>
      </c>
      <c r="H178" s="8" t="s">
        <v>9</v>
      </c>
    </row>
    <row r="179" spans="1:26" ht="15.75" customHeight="1">
      <c r="A179" s="30">
        <v>45904</v>
      </c>
      <c r="B179" t="s">
        <v>155</v>
      </c>
      <c r="C179">
        <v>1</v>
      </c>
      <c r="D179">
        <v>10</v>
      </c>
      <c r="F179" s="9">
        <f t="shared" si="6"/>
        <v>10</v>
      </c>
      <c r="G179" s="9">
        <f t="shared" si="7"/>
        <v>0</v>
      </c>
      <c r="H179" s="8" t="s">
        <v>9</v>
      </c>
    </row>
    <row r="180" spans="1:26" ht="15.75" customHeight="1">
      <c r="A180" s="30">
        <v>45904</v>
      </c>
      <c r="B180" t="s">
        <v>156</v>
      </c>
      <c r="C180">
        <v>1</v>
      </c>
      <c r="D180">
        <v>30</v>
      </c>
      <c r="F180" s="9">
        <f t="shared" si="6"/>
        <v>30</v>
      </c>
      <c r="G180" s="9">
        <f t="shared" si="7"/>
        <v>0</v>
      </c>
      <c r="H180" s="8" t="s">
        <v>21</v>
      </c>
    </row>
    <row r="181" spans="1:26" ht="15.75" customHeight="1">
      <c r="A181" s="30">
        <v>45904</v>
      </c>
      <c r="B181" t="s">
        <v>157</v>
      </c>
      <c r="C181">
        <v>1</v>
      </c>
      <c r="D181">
        <v>35</v>
      </c>
      <c r="E181" s="4">
        <f>10/35*100</f>
        <v>28.571428571428601</v>
      </c>
      <c r="F181" s="9">
        <f t="shared" si="6"/>
        <v>25</v>
      </c>
      <c r="G181" s="9">
        <f t="shared" si="7"/>
        <v>10</v>
      </c>
      <c r="H181" s="8" t="s">
        <v>21</v>
      </c>
    </row>
    <row r="182" spans="1:26" ht="15.75" customHeight="1">
      <c r="A182" s="30">
        <v>45904</v>
      </c>
      <c r="B182" t="s">
        <v>22</v>
      </c>
      <c r="C182">
        <v>1</v>
      </c>
      <c r="D182">
        <v>55</v>
      </c>
      <c r="F182" s="9">
        <f t="shared" si="6"/>
        <v>55</v>
      </c>
      <c r="G182" s="9">
        <f t="shared" si="7"/>
        <v>0</v>
      </c>
      <c r="H182" s="8" t="s">
        <v>9</v>
      </c>
    </row>
    <row r="183" spans="1:26" ht="15.75" customHeight="1">
      <c r="A183" s="30">
        <v>45904</v>
      </c>
      <c r="B183" t="s">
        <v>22</v>
      </c>
      <c r="C183">
        <v>1</v>
      </c>
      <c r="D183">
        <v>55</v>
      </c>
      <c r="F183" s="9">
        <f t="shared" si="6"/>
        <v>55</v>
      </c>
      <c r="G183" s="9">
        <f t="shared" si="7"/>
        <v>0</v>
      </c>
      <c r="H183" s="8" t="s">
        <v>21</v>
      </c>
    </row>
    <row r="184" spans="1:26" ht="15.75" customHeight="1">
      <c r="A184" s="30">
        <v>45904</v>
      </c>
      <c r="B184" t="s">
        <v>24</v>
      </c>
      <c r="C184">
        <v>1</v>
      </c>
      <c r="D184">
        <v>10</v>
      </c>
      <c r="F184" s="9">
        <f t="shared" si="6"/>
        <v>10</v>
      </c>
      <c r="G184" s="9">
        <f t="shared" si="7"/>
        <v>0</v>
      </c>
      <c r="H184" s="8" t="s">
        <v>9</v>
      </c>
    </row>
    <row r="185" spans="1:26" ht="15.75" customHeight="1">
      <c r="A185" s="30">
        <v>45904</v>
      </c>
      <c r="B185" t="s">
        <v>60</v>
      </c>
      <c r="C185">
        <v>1</v>
      </c>
      <c r="D185">
        <v>60</v>
      </c>
      <c r="F185" s="9">
        <f t="shared" si="6"/>
        <v>60</v>
      </c>
      <c r="G185" s="9">
        <f t="shared" si="7"/>
        <v>0</v>
      </c>
      <c r="H185" s="8" t="s">
        <v>9</v>
      </c>
    </row>
    <row r="186" spans="1:26" ht="15.75" customHeight="1">
      <c r="A186" s="30">
        <v>45904</v>
      </c>
      <c r="B186" t="s">
        <v>158</v>
      </c>
      <c r="C186">
        <v>1</v>
      </c>
      <c r="D186">
        <v>60</v>
      </c>
      <c r="F186" s="9">
        <f t="shared" si="6"/>
        <v>60</v>
      </c>
      <c r="G186" s="9">
        <f t="shared" si="7"/>
        <v>0</v>
      </c>
      <c r="H186" s="8" t="s">
        <v>9</v>
      </c>
    </row>
    <row r="187" spans="1:26" ht="15.75" customHeight="1">
      <c r="A187" s="30">
        <v>45904</v>
      </c>
      <c r="B187" t="s">
        <v>159</v>
      </c>
      <c r="C187">
        <v>1</v>
      </c>
      <c r="D187">
        <v>20</v>
      </c>
      <c r="F187" s="9">
        <f t="shared" si="6"/>
        <v>20</v>
      </c>
      <c r="G187" s="9">
        <f t="shared" si="7"/>
        <v>0</v>
      </c>
      <c r="H187" s="8" t="s">
        <v>9</v>
      </c>
    </row>
    <row r="188" spans="1:26" ht="15.75" customHeight="1">
      <c r="A188" s="30">
        <v>45904</v>
      </c>
      <c r="B188" t="s">
        <v>160</v>
      </c>
      <c r="C188">
        <v>1</v>
      </c>
      <c r="D188">
        <v>25</v>
      </c>
      <c r="F188" s="9">
        <f t="shared" si="6"/>
        <v>25</v>
      </c>
      <c r="G188" s="9">
        <f t="shared" si="7"/>
        <v>0</v>
      </c>
      <c r="H188" s="8" t="s">
        <v>9</v>
      </c>
    </row>
    <row r="189" spans="1:26" ht="15.75" customHeight="1">
      <c r="A189" s="30">
        <v>45904</v>
      </c>
      <c r="B189" t="s">
        <v>161</v>
      </c>
      <c r="C189">
        <v>1</v>
      </c>
      <c r="D189">
        <v>25</v>
      </c>
      <c r="F189" s="9">
        <f t="shared" si="6"/>
        <v>25</v>
      </c>
      <c r="G189" s="9">
        <f t="shared" si="7"/>
        <v>0</v>
      </c>
      <c r="H189" s="8" t="s">
        <v>9</v>
      </c>
    </row>
    <row r="190" spans="1:26" ht="15.75" customHeight="1">
      <c r="A190" s="30">
        <v>45904</v>
      </c>
      <c r="B190" t="s">
        <v>53</v>
      </c>
      <c r="C190">
        <v>6</v>
      </c>
      <c r="D190">
        <v>18</v>
      </c>
      <c r="E190" s="4">
        <f>18/108*100</f>
        <v>16.6666666666667</v>
      </c>
      <c r="F190" s="9">
        <f t="shared" si="6"/>
        <v>90</v>
      </c>
      <c r="G190" s="9">
        <f t="shared" si="7"/>
        <v>18</v>
      </c>
      <c r="H190" s="8" t="s">
        <v>9</v>
      </c>
    </row>
    <row r="191" spans="1:26" ht="15.75" customHeight="1">
      <c r="A191" s="30">
        <v>45904</v>
      </c>
      <c r="B191" t="s">
        <v>42</v>
      </c>
      <c r="C191">
        <v>1</v>
      </c>
      <c r="D191">
        <v>100</v>
      </c>
      <c r="E191">
        <v>10</v>
      </c>
      <c r="F191" s="9">
        <f t="shared" si="6"/>
        <v>90</v>
      </c>
      <c r="G191" s="9">
        <f t="shared" si="7"/>
        <v>10</v>
      </c>
      <c r="H191" s="8" t="s">
        <v>9</v>
      </c>
    </row>
    <row r="192" spans="1:26" ht="15.75" customHeight="1">
      <c r="A192" s="31">
        <v>45905</v>
      </c>
      <c r="B192" s="6" t="s">
        <v>162</v>
      </c>
      <c r="C192" s="6">
        <v>1</v>
      </c>
      <c r="D192" s="6">
        <v>35</v>
      </c>
      <c r="E192" s="7"/>
      <c r="F192" s="11">
        <f t="shared" si="6"/>
        <v>35</v>
      </c>
      <c r="G192" s="11">
        <f t="shared" si="7"/>
        <v>0</v>
      </c>
      <c r="H192" s="10" t="s">
        <v>9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10" ht="15.75" customHeight="1">
      <c r="A193" s="30">
        <v>45905</v>
      </c>
      <c r="B193" t="s">
        <v>160</v>
      </c>
      <c r="C193">
        <v>1</v>
      </c>
      <c r="D193">
        <v>25</v>
      </c>
      <c r="F193" s="9">
        <f t="shared" si="6"/>
        <v>25</v>
      </c>
      <c r="G193" s="9">
        <f t="shared" si="7"/>
        <v>0</v>
      </c>
      <c r="H193" s="8" t="s">
        <v>9</v>
      </c>
    </row>
    <row r="194" spans="1:10" ht="15.75" customHeight="1">
      <c r="A194" s="30">
        <v>45905</v>
      </c>
      <c r="B194" t="s">
        <v>28</v>
      </c>
      <c r="C194">
        <v>1</v>
      </c>
      <c r="D194">
        <v>20</v>
      </c>
      <c r="F194" s="9">
        <f t="shared" si="6"/>
        <v>20</v>
      </c>
      <c r="G194" s="9">
        <f t="shared" si="7"/>
        <v>0</v>
      </c>
      <c r="H194" s="8" t="s">
        <v>9</v>
      </c>
    </row>
    <row r="195" spans="1:10" ht="15.75" customHeight="1">
      <c r="A195" s="30">
        <v>45905</v>
      </c>
      <c r="B195" t="s">
        <v>40</v>
      </c>
      <c r="C195">
        <v>1</v>
      </c>
      <c r="D195">
        <v>20</v>
      </c>
      <c r="F195" s="9">
        <f t="shared" si="6"/>
        <v>20</v>
      </c>
      <c r="G195" s="9">
        <f t="shared" si="7"/>
        <v>0</v>
      </c>
      <c r="H195" s="8" t="s">
        <v>9</v>
      </c>
    </row>
    <row r="196" spans="1:10" ht="15.75" customHeight="1">
      <c r="A196" s="30">
        <v>45905</v>
      </c>
      <c r="B196" t="s">
        <v>129</v>
      </c>
      <c r="C196">
        <v>1</v>
      </c>
      <c r="D196">
        <v>30</v>
      </c>
      <c r="F196" s="9">
        <f t="shared" si="6"/>
        <v>30</v>
      </c>
      <c r="G196" s="9">
        <f t="shared" si="7"/>
        <v>0</v>
      </c>
      <c r="H196" s="8" t="s">
        <v>9</v>
      </c>
    </row>
    <row r="197" spans="1:10" ht="15.75" customHeight="1">
      <c r="A197" s="30">
        <v>45905</v>
      </c>
      <c r="B197" t="s">
        <v>163</v>
      </c>
      <c r="C197">
        <v>1</v>
      </c>
      <c r="D197">
        <v>30</v>
      </c>
      <c r="F197" s="9">
        <f t="shared" si="6"/>
        <v>30</v>
      </c>
      <c r="G197" s="9">
        <f t="shared" si="7"/>
        <v>0</v>
      </c>
      <c r="H197" s="8" t="s">
        <v>9</v>
      </c>
    </row>
    <row r="198" spans="1:10" ht="15.75" customHeight="1">
      <c r="A198" s="30">
        <v>45905</v>
      </c>
      <c r="B198" t="s">
        <v>40</v>
      </c>
      <c r="C198">
        <v>1</v>
      </c>
      <c r="D198">
        <v>20</v>
      </c>
      <c r="F198" s="9">
        <f t="shared" si="6"/>
        <v>20</v>
      </c>
      <c r="G198" s="9">
        <f t="shared" si="7"/>
        <v>0</v>
      </c>
      <c r="H198" s="8" t="s">
        <v>9</v>
      </c>
    </row>
    <row r="199" spans="1:10" ht="15.75" customHeight="1">
      <c r="A199" s="30">
        <v>45905</v>
      </c>
      <c r="B199" t="s">
        <v>164</v>
      </c>
      <c r="C199">
        <v>2</v>
      </c>
      <c r="D199">
        <v>25</v>
      </c>
      <c r="F199" s="9">
        <f t="shared" si="6"/>
        <v>50</v>
      </c>
      <c r="G199" s="9">
        <f t="shared" si="7"/>
        <v>0</v>
      </c>
      <c r="H199" s="8" t="s">
        <v>9</v>
      </c>
    </row>
    <row r="200" spans="1:10" ht="15.75" customHeight="1">
      <c r="A200" s="30">
        <v>45905</v>
      </c>
      <c r="B200" t="s">
        <v>46</v>
      </c>
      <c r="C200">
        <v>1</v>
      </c>
      <c r="D200">
        <v>90</v>
      </c>
      <c r="F200" s="9">
        <f t="shared" si="6"/>
        <v>90</v>
      </c>
      <c r="G200" s="9">
        <f t="shared" si="7"/>
        <v>0</v>
      </c>
      <c r="H200" s="8" t="s">
        <v>21</v>
      </c>
      <c r="J200" t="s">
        <v>165</v>
      </c>
    </row>
    <row r="201" spans="1:10" ht="15.75" customHeight="1">
      <c r="A201" s="30">
        <v>45906</v>
      </c>
      <c r="B201" t="s">
        <v>160</v>
      </c>
      <c r="C201">
        <v>1</v>
      </c>
      <c r="D201">
        <v>25</v>
      </c>
      <c r="F201" s="9">
        <f t="shared" si="6"/>
        <v>25</v>
      </c>
      <c r="G201" s="9">
        <f t="shared" si="7"/>
        <v>0</v>
      </c>
      <c r="H201" s="8" t="s">
        <v>21</v>
      </c>
    </row>
    <row r="202" spans="1:10" ht="15.75" customHeight="1">
      <c r="A202" s="30">
        <v>45906</v>
      </c>
      <c r="B202" t="s">
        <v>53</v>
      </c>
      <c r="C202">
        <v>9</v>
      </c>
      <c r="D202">
        <v>18</v>
      </c>
      <c r="E202" s="4">
        <f>22/162*100</f>
        <v>13.580246913580201</v>
      </c>
      <c r="F202" s="9">
        <f t="shared" si="6"/>
        <v>140</v>
      </c>
      <c r="G202" s="9">
        <f t="shared" si="7"/>
        <v>22</v>
      </c>
      <c r="H202" s="8" t="s">
        <v>9</v>
      </c>
    </row>
    <row r="203" spans="1:10" ht="15.75" customHeight="1">
      <c r="A203" s="30">
        <v>45906</v>
      </c>
      <c r="B203" t="s">
        <v>160</v>
      </c>
      <c r="C203">
        <v>1</v>
      </c>
      <c r="D203">
        <v>25</v>
      </c>
      <c r="E203" s="4">
        <f>5/25*100</f>
        <v>20</v>
      </c>
      <c r="F203" s="9">
        <f t="shared" si="6"/>
        <v>20</v>
      </c>
      <c r="G203" s="9">
        <f t="shared" si="7"/>
        <v>5</v>
      </c>
      <c r="H203" s="8" t="s">
        <v>9</v>
      </c>
    </row>
    <row r="204" spans="1:10" ht="15.75" customHeight="1">
      <c r="A204" s="30">
        <v>45906</v>
      </c>
      <c r="B204" t="s">
        <v>40</v>
      </c>
      <c r="C204">
        <v>1</v>
      </c>
      <c r="D204">
        <v>20</v>
      </c>
      <c r="E204">
        <v>50</v>
      </c>
      <c r="F204" s="9">
        <f t="shared" si="6"/>
        <v>10</v>
      </c>
      <c r="G204" s="9">
        <f t="shared" si="7"/>
        <v>10</v>
      </c>
      <c r="H204" s="8" t="s">
        <v>9</v>
      </c>
    </row>
    <row r="205" spans="1:10" ht="15.75" customHeight="1">
      <c r="A205" s="30">
        <v>45906</v>
      </c>
      <c r="B205" t="s">
        <v>151</v>
      </c>
      <c r="C205">
        <v>1</v>
      </c>
      <c r="D205">
        <v>10</v>
      </c>
      <c r="E205">
        <v>50</v>
      </c>
      <c r="F205" s="9">
        <f t="shared" si="6"/>
        <v>5</v>
      </c>
      <c r="G205" s="9">
        <f t="shared" si="7"/>
        <v>5</v>
      </c>
      <c r="H205" s="8" t="s">
        <v>9</v>
      </c>
    </row>
    <row r="206" spans="1:10" ht="15.75" customHeight="1">
      <c r="A206" s="30">
        <v>45906</v>
      </c>
      <c r="B206" t="s">
        <v>42</v>
      </c>
      <c r="C206">
        <v>4</v>
      </c>
      <c r="D206">
        <v>90</v>
      </c>
      <c r="E206" s="4">
        <f>30/360*100</f>
        <v>8.3333333333333304</v>
      </c>
      <c r="F206" s="9">
        <f t="shared" si="6"/>
        <v>330</v>
      </c>
      <c r="G206" s="9">
        <f t="shared" si="7"/>
        <v>30</v>
      </c>
      <c r="H206" s="8" t="s">
        <v>21</v>
      </c>
    </row>
    <row r="207" spans="1:10" ht="15.75" customHeight="1">
      <c r="A207" s="30">
        <v>45906</v>
      </c>
      <c r="B207" t="s">
        <v>166</v>
      </c>
      <c r="C207">
        <v>1</v>
      </c>
      <c r="D207">
        <v>80</v>
      </c>
      <c r="E207" s="4">
        <f>10/80*100</f>
        <v>12.5</v>
      </c>
      <c r="F207" s="9">
        <f t="shared" si="6"/>
        <v>70</v>
      </c>
      <c r="G207" s="9">
        <f t="shared" si="7"/>
        <v>10</v>
      </c>
      <c r="H207" s="8" t="s">
        <v>21</v>
      </c>
    </row>
    <row r="208" spans="1:10" ht="15.75" customHeight="1">
      <c r="A208" s="30">
        <v>45906</v>
      </c>
      <c r="B208" t="s">
        <v>167</v>
      </c>
      <c r="C208">
        <v>1</v>
      </c>
      <c r="D208">
        <v>30</v>
      </c>
      <c r="F208" s="9">
        <f t="shared" si="6"/>
        <v>30</v>
      </c>
      <c r="G208" s="9">
        <f t="shared" si="7"/>
        <v>0</v>
      </c>
      <c r="H208" s="8" t="s">
        <v>9</v>
      </c>
    </row>
    <row r="209" spans="1:26" ht="15.75" customHeight="1">
      <c r="A209" s="30">
        <v>45907</v>
      </c>
      <c r="B209" t="s">
        <v>124</v>
      </c>
      <c r="C209">
        <v>4</v>
      </c>
      <c r="D209">
        <v>20</v>
      </c>
      <c r="F209" s="9">
        <f t="shared" si="6"/>
        <v>80</v>
      </c>
      <c r="G209" s="9">
        <f t="shared" si="7"/>
        <v>0</v>
      </c>
      <c r="H209" s="8" t="s">
        <v>9</v>
      </c>
      <c r="J209" t="s">
        <v>168</v>
      </c>
    </row>
    <row r="210" spans="1:26" ht="15.75" customHeight="1">
      <c r="A210" s="30">
        <v>45907</v>
      </c>
      <c r="B210" t="s">
        <v>164</v>
      </c>
      <c r="C210">
        <v>1</v>
      </c>
      <c r="D210">
        <v>25</v>
      </c>
      <c r="E210">
        <v>20</v>
      </c>
      <c r="F210" s="9">
        <f t="shared" si="6"/>
        <v>20</v>
      </c>
      <c r="G210" s="9">
        <f t="shared" si="7"/>
        <v>5</v>
      </c>
      <c r="H210" s="8" t="s">
        <v>9</v>
      </c>
    </row>
    <row r="211" spans="1:26" ht="15.75" customHeight="1">
      <c r="A211" s="30">
        <v>45907</v>
      </c>
      <c r="B211" t="s">
        <v>169</v>
      </c>
      <c r="C211">
        <v>2</v>
      </c>
      <c r="D211">
        <v>30</v>
      </c>
      <c r="F211" s="9">
        <f t="shared" si="6"/>
        <v>60</v>
      </c>
      <c r="G211" s="9">
        <f t="shared" si="7"/>
        <v>0</v>
      </c>
      <c r="H211" s="8" t="s">
        <v>9</v>
      </c>
    </row>
    <row r="212" spans="1:26" ht="15.75" customHeight="1">
      <c r="A212" s="31">
        <v>45907</v>
      </c>
      <c r="B212" s="6" t="s">
        <v>170</v>
      </c>
      <c r="C212" s="6">
        <v>1</v>
      </c>
      <c r="D212" s="6">
        <v>40</v>
      </c>
      <c r="E212" s="7"/>
      <c r="F212" s="11">
        <f t="shared" si="6"/>
        <v>40</v>
      </c>
      <c r="G212" s="11">
        <f t="shared" si="7"/>
        <v>0</v>
      </c>
      <c r="H212" s="10" t="s">
        <v>9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30">
        <v>45907</v>
      </c>
      <c r="B213" t="s">
        <v>151</v>
      </c>
      <c r="C213">
        <v>2</v>
      </c>
      <c r="D213">
        <v>10</v>
      </c>
      <c r="F213" s="9">
        <f t="shared" si="6"/>
        <v>20</v>
      </c>
      <c r="G213" s="9">
        <f t="shared" si="7"/>
        <v>0</v>
      </c>
      <c r="H213" s="8" t="s">
        <v>9</v>
      </c>
    </row>
    <row r="214" spans="1:26" ht="15.75" customHeight="1">
      <c r="A214" s="30">
        <v>45907</v>
      </c>
      <c r="B214" t="s">
        <v>40</v>
      </c>
      <c r="C214">
        <v>1</v>
      </c>
      <c r="D214">
        <v>20</v>
      </c>
      <c r="F214" s="9">
        <f t="shared" si="6"/>
        <v>20</v>
      </c>
      <c r="G214" s="9">
        <f t="shared" si="7"/>
        <v>0</v>
      </c>
      <c r="H214" s="8" t="s">
        <v>9</v>
      </c>
    </row>
    <row r="215" spans="1:26" ht="15.75" customHeight="1">
      <c r="A215" s="30">
        <v>45907</v>
      </c>
      <c r="B215" t="s">
        <v>23</v>
      </c>
      <c r="C215">
        <v>1</v>
      </c>
      <c r="D215">
        <v>70</v>
      </c>
      <c r="F215" s="9">
        <f t="shared" si="6"/>
        <v>70</v>
      </c>
      <c r="G215" s="9">
        <f t="shared" si="7"/>
        <v>0</v>
      </c>
      <c r="H215" s="8" t="s">
        <v>21</v>
      </c>
    </row>
    <row r="216" spans="1:26" ht="15.75" customHeight="1">
      <c r="A216" s="30">
        <v>45907</v>
      </c>
      <c r="B216" t="s">
        <v>20</v>
      </c>
      <c r="C216">
        <v>1</v>
      </c>
      <c r="D216">
        <v>70</v>
      </c>
      <c r="F216" s="9">
        <f t="shared" si="6"/>
        <v>70</v>
      </c>
      <c r="G216" s="9">
        <f t="shared" si="7"/>
        <v>0</v>
      </c>
      <c r="H216" s="8" t="s">
        <v>21</v>
      </c>
    </row>
    <row r="217" spans="1:26" ht="15.75" customHeight="1">
      <c r="A217" s="30">
        <v>45907</v>
      </c>
      <c r="B217" t="s">
        <v>171</v>
      </c>
      <c r="C217">
        <v>2</v>
      </c>
      <c r="D217">
        <v>60</v>
      </c>
      <c r="F217" s="9">
        <f t="shared" si="6"/>
        <v>120</v>
      </c>
      <c r="G217" s="9">
        <f t="shared" si="7"/>
        <v>0</v>
      </c>
      <c r="H217" s="8" t="s">
        <v>21</v>
      </c>
    </row>
    <row r="218" spans="1:26" ht="15.75" customHeight="1">
      <c r="A218" s="30">
        <v>45907</v>
      </c>
      <c r="B218" t="s">
        <v>151</v>
      </c>
      <c r="C218">
        <v>1</v>
      </c>
      <c r="D218">
        <v>10</v>
      </c>
      <c r="F218" s="9">
        <f t="shared" si="6"/>
        <v>10</v>
      </c>
      <c r="G218" s="9">
        <f t="shared" si="7"/>
        <v>0</v>
      </c>
      <c r="H218" s="8" t="s">
        <v>21</v>
      </c>
    </row>
    <row r="219" spans="1:26" ht="15.75" customHeight="1">
      <c r="A219" s="30">
        <v>45907</v>
      </c>
      <c r="B219" t="s">
        <v>42</v>
      </c>
      <c r="C219">
        <v>1</v>
      </c>
      <c r="D219">
        <v>90</v>
      </c>
      <c r="E219" s="4">
        <f>10/90*100</f>
        <v>11.1111111111111</v>
      </c>
      <c r="F219" s="9">
        <f t="shared" si="6"/>
        <v>80</v>
      </c>
      <c r="G219" s="9">
        <f t="shared" si="7"/>
        <v>10</v>
      </c>
      <c r="H219" s="8" t="s">
        <v>21</v>
      </c>
    </row>
    <row r="220" spans="1:26" ht="15.75" customHeight="1">
      <c r="A220" s="30">
        <v>45907</v>
      </c>
      <c r="B220" t="s">
        <v>20</v>
      </c>
      <c r="C220">
        <v>1</v>
      </c>
      <c r="D220">
        <v>70</v>
      </c>
      <c r="E220" s="4">
        <f>10/70*100</f>
        <v>14.285714285714301</v>
      </c>
      <c r="F220" s="9">
        <f t="shared" si="6"/>
        <v>60</v>
      </c>
      <c r="G220" s="9">
        <f t="shared" si="7"/>
        <v>10</v>
      </c>
      <c r="H220" s="8" t="s">
        <v>21</v>
      </c>
    </row>
    <row r="221" spans="1:26" ht="15.75" customHeight="1">
      <c r="A221" s="30">
        <v>45907</v>
      </c>
      <c r="B221" t="s">
        <v>172</v>
      </c>
      <c r="C221">
        <v>3</v>
      </c>
      <c r="D221">
        <v>35</v>
      </c>
      <c r="E221" s="4">
        <f>15/105*100</f>
        <v>14.285714285714301</v>
      </c>
      <c r="F221" s="9">
        <f t="shared" si="6"/>
        <v>90</v>
      </c>
      <c r="G221" s="9">
        <f t="shared" si="7"/>
        <v>15</v>
      </c>
      <c r="H221" s="8" t="s">
        <v>21</v>
      </c>
    </row>
    <row r="222" spans="1:26" ht="15.75" customHeight="1">
      <c r="A222" s="30">
        <v>45907</v>
      </c>
      <c r="B222" t="s">
        <v>157</v>
      </c>
      <c r="C222">
        <v>1</v>
      </c>
      <c r="D222">
        <v>40</v>
      </c>
      <c r="E222" s="4">
        <f>10/40*100</f>
        <v>25</v>
      </c>
      <c r="F222" s="9">
        <f t="shared" si="6"/>
        <v>30</v>
      </c>
      <c r="G222" s="9">
        <f t="shared" si="7"/>
        <v>10</v>
      </c>
      <c r="H222" s="8" t="s">
        <v>21</v>
      </c>
    </row>
    <row r="223" spans="1:26" ht="15.75" customHeight="1">
      <c r="A223" s="30">
        <v>45907</v>
      </c>
      <c r="B223" t="s">
        <v>148</v>
      </c>
      <c r="C223">
        <v>1</v>
      </c>
      <c r="D223">
        <v>40</v>
      </c>
      <c r="F223" s="9">
        <f t="shared" si="6"/>
        <v>40</v>
      </c>
      <c r="G223" s="9">
        <f t="shared" si="7"/>
        <v>0</v>
      </c>
      <c r="H223" s="8" t="s">
        <v>21</v>
      </c>
    </row>
    <row r="224" spans="1:26" ht="15.75" customHeight="1">
      <c r="A224" s="30">
        <v>45907</v>
      </c>
      <c r="B224" t="s">
        <v>166</v>
      </c>
      <c r="C224">
        <v>2</v>
      </c>
      <c r="D224">
        <v>80</v>
      </c>
      <c r="E224" s="4">
        <f>20/160*100</f>
        <v>12.5</v>
      </c>
      <c r="F224" s="9">
        <f t="shared" si="6"/>
        <v>140</v>
      </c>
      <c r="G224" s="9">
        <f t="shared" si="7"/>
        <v>20</v>
      </c>
      <c r="H224" s="8" t="s">
        <v>21</v>
      </c>
    </row>
    <row r="225" spans="1:9" ht="15.75" customHeight="1">
      <c r="A225" s="30">
        <v>45907</v>
      </c>
      <c r="B225" t="s">
        <v>173</v>
      </c>
      <c r="C225">
        <v>2</v>
      </c>
      <c r="D225">
        <v>30</v>
      </c>
      <c r="E225" s="4">
        <f>10/60*100</f>
        <v>16.6666666666667</v>
      </c>
      <c r="F225" s="9">
        <f t="shared" si="6"/>
        <v>50</v>
      </c>
      <c r="G225" s="9">
        <f t="shared" si="7"/>
        <v>10</v>
      </c>
      <c r="H225" s="8" t="s">
        <v>21</v>
      </c>
      <c r="I225" t="s">
        <v>174</v>
      </c>
    </row>
    <row r="226" spans="1:9" ht="15.75" customHeight="1">
      <c r="A226" s="30">
        <v>45907</v>
      </c>
      <c r="B226" t="s">
        <v>169</v>
      </c>
      <c r="C226">
        <v>1</v>
      </c>
      <c r="D226">
        <v>30</v>
      </c>
      <c r="F226" s="9">
        <f t="shared" si="6"/>
        <v>30</v>
      </c>
      <c r="G226" s="9">
        <f t="shared" si="7"/>
        <v>0</v>
      </c>
      <c r="H226" s="8" t="s">
        <v>9</v>
      </c>
    </row>
    <row r="227" spans="1:9" ht="15.75" customHeight="1">
      <c r="A227" s="30">
        <v>45907</v>
      </c>
      <c r="B227" t="s">
        <v>175</v>
      </c>
      <c r="C227">
        <v>1</v>
      </c>
      <c r="D227">
        <v>80</v>
      </c>
      <c r="F227" s="9">
        <f t="shared" si="6"/>
        <v>80</v>
      </c>
      <c r="G227" s="9">
        <f t="shared" si="7"/>
        <v>0</v>
      </c>
      <c r="H227" s="8" t="s">
        <v>21</v>
      </c>
      <c r="I227" t="s">
        <v>165</v>
      </c>
    </row>
    <row r="228" spans="1:9" ht="15.75" customHeight="1">
      <c r="A228" s="30">
        <v>45907</v>
      </c>
      <c r="B228" t="s">
        <v>160</v>
      </c>
      <c r="C228">
        <v>1</v>
      </c>
      <c r="D228">
        <v>25</v>
      </c>
      <c r="F228" s="9">
        <f t="shared" si="6"/>
        <v>25</v>
      </c>
      <c r="G228" s="9">
        <f t="shared" si="7"/>
        <v>0</v>
      </c>
      <c r="H228" s="8" t="s">
        <v>21</v>
      </c>
    </row>
    <row r="229" spans="1:9" ht="15.75" customHeight="1">
      <c r="A229" s="30">
        <v>45907</v>
      </c>
      <c r="B229" t="s">
        <v>151</v>
      </c>
      <c r="C229">
        <v>1</v>
      </c>
      <c r="D229">
        <v>10</v>
      </c>
      <c r="F229" s="9">
        <f t="shared" si="6"/>
        <v>10</v>
      </c>
      <c r="G229" s="9">
        <f t="shared" si="7"/>
        <v>0</v>
      </c>
      <c r="H229" s="8" t="s">
        <v>21</v>
      </c>
    </row>
    <row r="230" spans="1:9" ht="15.75" customHeight="1">
      <c r="A230" s="30">
        <v>45907</v>
      </c>
      <c r="B230" t="s">
        <v>40</v>
      </c>
      <c r="C230">
        <v>1</v>
      </c>
      <c r="D230">
        <v>20</v>
      </c>
      <c r="E230">
        <v>50</v>
      </c>
      <c r="F230" s="9">
        <f t="shared" si="6"/>
        <v>10</v>
      </c>
      <c r="G230" s="9">
        <f t="shared" si="7"/>
        <v>10</v>
      </c>
      <c r="H230" s="8" t="s">
        <v>21</v>
      </c>
    </row>
    <row r="231" spans="1:9" ht="15.75" customHeight="1">
      <c r="A231" s="30">
        <v>45907</v>
      </c>
      <c r="B231" t="s">
        <v>26</v>
      </c>
      <c r="C231">
        <v>1</v>
      </c>
      <c r="D231">
        <v>120</v>
      </c>
      <c r="E231" s="4">
        <f>20/120*100</f>
        <v>16.6666666666667</v>
      </c>
      <c r="F231" s="9">
        <f t="shared" si="6"/>
        <v>100</v>
      </c>
      <c r="G231" s="9">
        <f t="shared" si="7"/>
        <v>20</v>
      </c>
      <c r="H231" s="8" t="s">
        <v>21</v>
      </c>
    </row>
    <row r="232" spans="1:9" ht="15.75" customHeight="1">
      <c r="A232" s="30">
        <v>45907</v>
      </c>
      <c r="B232" t="s">
        <v>40</v>
      </c>
      <c r="C232">
        <v>1</v>
      </c>
      <c r="D232">
        <v>20</v>
      </c>
      <c r="F232" s="9">
        <f t="shared" si="6"/>
        <v>20</v>
      </c>
      <c r="G232" s="9">
        <f t="shared" si="7"/>
        <v>0</v>
      </c>
      <c r="H232" s="8" t="s">
        <v>21</v>
      </c>
    </row>
    <row r="233" spans="1:9" ht="15.75" customHeight="1">
      <c r="A233" s="30">
        <v>45908</v>
      </c>
      <c r="B233" t="s">
        <v>28</v>
      </c>
      <c r="C233">
        <v>2</v>
      </c>
      <c r="D233">
        <v>20</v>
      </c>
      <c r="F233" s="9">
        <f t="shared" si="6"/>
        <v>40</v>
      </c>
      <c r="G233" s="9">
        <f t="shared" si="7"/>
        <v>0</v>
      </c>
      <c r="H233" s="8" t="s">
        <v>9</v>
      </c>
    </row>
    <row r="234" spans="1:9" ht="15.75" customHeight="1">
      <c r="A234" s="30">
        <v>45908</v>
      </c>
      <c r="B234" t="s">
        <v>22</v>
      </c>
      <c r="C234">
        <v>1</v>
      </c>
      <c r="D234">
        <v>55</v>
      </c>
      <c r="F234" s="9">
        <f t="shared" si="6"/>
        <v>55</v>
      </c>
      <c r="G234" s="9">
        <f t="shared" si="7"/>
        <v>0</v>
      </c>
      <c r="H234" s="8" t="s">
        <v>9</v>
      </c>
    </row>
    <row r="235" spans="1:9" ht="15.75" customHeight="1">
      <c r="A235" s="30">
        <v>45908</v>
      </c>
      <c r="B235" t="s">
        <v>176</v>
      </c>
      <c r="C235">
        <v>1</v>
      </c>
      <c r="D235">
        <v>10</v>
      </c>
      <c r="F235" s="9">
        <f t="shared" si="6"/>
        <v>10</v>
      </c>
      <c r="G235" s="9">
        <f t="shared" si="7"/>
        <v>0</v>
      </c>
      <c r="H235" s="8" t="s">
        <v>9</v>
      </c>
    </row>
    <row r="236" spans="1:9" ht="15.75" customHeight="1">
      <c r="A236" s="30">
        <v>45908</v>
      </c>
      <c r="B236" t="s">
        <v>177</v>
      </c>
      <c r="C236">
        <v>6</v>
      </c>
      <c r="D236">
        <v>18</v>
      </c>
      <c r="F236" s="9">
        <f t="shared" si="6"/>
        <v>108</v>
      </c>
      <c r="G236" s="9">
        <f t="shared" si="7"/>
        <v>0</v>
      </c>
      <c r="H236" s="8" t="s">
        <v>9</v>
      </c>
    </row>
    <row r="237" spans="1:9" ht="15.75" customHeight="1">
      <c r="A237" s="30">
        <v>45908</v>
      </c>
      <c r="B237" t="s">
        <v>178</v>
      </c>
      <c r="C237">
        <v>1</v>
      </c>
      <c r="D237">
        <v>50</v>
      </c>
      <c r="F237" s="9">
        <f t="shared" si="6"/>
        <v>50</v>
      </c>
      <c r="G237" s="9">
        <f t="shared" si="7"/>
        <v>0</v>
      </c>
      <c r="H237" s="8" t="s">
        <v>9</v>
      </c>
    </row>
    <row r="238" spans="1:9" ht="15.75" customHeight="1">
      <c r="A238" s="30">
        <v>45908</v>
      </c>
      <c r="B238" t="s">
        <v>179</v>
      </c>
      <c r="C238">
        <v>1</v>
      </c>
      <c r="D238">
        <v>10</v>
      </c>
      <c r="F238" s="9">
        <f t="shared" si="6"/>
        <v>10</v>
      </c>
      <c r="G238" s="9">
        <f t="shared" si="7"/>
        <v>0</v>
      </c>
      <c r="H238" s="8" t="s">
        <v>9</v>
      </c>
    </row>
    <row r="239" spans="1:9" ht="15.75" customHeight="1">
      <c r="A239" s="30">
        <v>45908</v>
      </c>
      <c r="B239" t="s">
        <v>180</v>
      </c>
      <c r="C239">
        <v>1</v>
      </c>
      <c r="D239">
        <v>20</v>
      </c>
      <c r="F239" s="9">
        <f t="shared" si="6"/>
        <v>20</v>
      </c>
      <c r="G239" s="9">
        <f t="shared" si="7"/>
        <v>0</v>
      </c>
      <c r="H239" s="8" t="s">
        <v>9</v>
      </c>
    </row>
    <row r="240" spans="1:9" ht="15.75" customHeight="1">
      <c r="A240" s="30">
        <v>45908</v>
      </c>
      <c r="B240" t="s">
        <v>181</v>
      </c>
      <c r="C240">
        <v>2</v>
      </c>
      <c r="D240">
        <v>10</v>
      </c>
      <c r="F240" s="9">
        <f t="shared" si="6"/>
        <v>20</v>
      </c>
      <c r="G240" s="9">
        <f t="shared" si="7"/>
        <v>0</v>
      </c>
      <c r="H240" s="8" t="s">
        <v>21</v>
      </c>
    </row>
    <row r="241" spans="1:9" ht="15.75" customHeight="1">
      <c r="A241" s="30">
        <v>45908</v>
      </c>
      <c r="B241" t="s">
        <v>151</v>
      </c>
      <c r="C241">
        <v>1</v>
      </c>
      <c r="D241">
        <v>10</v>
      </c>
      <c r="F241" s="9">
        <f t="shared" si="6"/>
        <v>10</v>
      </c>
      <c r="G241" s="9">
        <f t="shared" si="7"/>
        <v>0</v>
      </c>
      <c r="H241" s="8" t="s">
        <v>21</v>
      </c>
    </row>
    <row r="242" spans="1:9" ht="15.75" customHeight="1">
      <c r="A242" s="30">
        <v>45908</v>
      </c>
      <c r="B242" t="s">
        <v>141</v>
      </c>
      <c r="C242">
        <v>2</v>
      </c>
      <c r="D242">
        <v>10</v>
      </c>
      <c r="F242" s="9">
        <f t="shared" si="6"/>
        <v>20</v>
      </c>
      <c r="G242" s="9">
        <f t="shared" si="7"/>
        <v>0</v>
      </c>
      <c r="H242" s="8" t="s">
        <v>9</v>
      </c>
    </row>
    <row r="243" spans="1:9" ht="15.75" customHeight="1">
      <c r="A243" s="30">
        <v>45908</v>
      </c>
      <c r="B243" t="s">
        <v>157</v>
      </c>
      <c r="C243">
        <v>1</v>
      </c>
      <c r="D243">
        <v>35</v>
      </c>
      <c r="E243" s="4">
        <f>5/35*100</f>
        <v>14.285714285714301</v>
      </c>
      <c r="F243" s="9">
        <f t="shared" si="6"/>
        <v>30</v>
      </c>
      <c r="G243" s="9">
        <f t="shared" si="7"/>
        <v>5</v>
      </c>
      <c r="H243" s="8" t="s">
        <v>9</v>
      </c>
    </row>
    <row r="244" spans="1:9" ht="15.75" customHeight="1">
      <c r="A244" s="30">
        <v>45908</v>
      </c>
      <c r="B244" t="s">
        <v>169</v>
      </c>
      <c r="C244">
        <v>1</v>
      </c>
      <c r="D244">
        <v>30</v>
      </c>
      <c r="F244" s="9">
        <f t="shared" si="6"/>
        <v>30</v>
      </c>
      <c r="G244" s="9">
        <f t="shared" si="7"/>
        <v>0</v>
      </c>
      <c r="H244" s="8" t="s">
        <v>9</v>
      </c>
    </row>
    <row r="245" spans="1:9" ht="15.75" customHeight="1">
      <c r="A245" s="30">
        <v>45908</v>
      </c>
      <c r="B245" t="s">
        <v>151</v>
      </c>
      <c r="C245">
        <v>1</v>
      </c>
      <c r="D245">
        <v>10</v>
      </c>
      <c r="F245" s="9">
        <f t="shared" si="6"/>
        <v>10</v>
      </c>
      <c r="G245" s="9">
        <f t="shared" si="7"/>
        <v>0</v>
      </c>
      <c r="H245" s="8" t="s">
        <v>9</v>
      </c>
    </row>
    <row r="246" spans="1:9" ht="15.75" customHeight="1">
      <c r="A246" s="30">
        <v>45908</v>
      </c>
      <c r="B246" t="s">
        <v>180</v>
      </c>
      <c r="C246">
        <v>1</v>
      </c>
      <c r="D246">
        <v>20</v>
      </c>
      <c r="E246" s="4">
        <f>7/20*100</f>
        <v>35</v>
      </c>
      <c r="F246" s="9">
        <f t="shared" si="6"/>
        <v>13</v>
      </c>
      <c r="G246" s="9">
        <f t="shared" si="7"/>
        <v>7</v>
      </c>
      <c r="H246" s="8" t="s">
        <v>9</v>
      </c>
    </row>
    <row r="247" spans="1:9" ht="15.75" customHeight="1">
      <c r="A247" s="30">
        <v>45909</v>
      </c>
      <c r="B247" t="s">
        <v>182</v>
      </c>
      <c r="C247">
        <v>2</v>
      </c>
      <c r="D247">
        <v>25</v>
      </c>
      <c r="E247">
        <v>20</v>
      </c>
      <c r="F247" s="9">
        <f t="shared" si="6"/>
        <v>40</v>
      </c>
      <c r="G247" s="9">
        <f t="shared" si="7"/>
        <v>10</v>
      </c>
      <c r="H247" s="8" t="s">
        <v>21</v>
      </c>
    </row>
    <row r="248" spans="1:9" ht="15.75" customHeight="1">
      <c r="A248" s="30">
        <v>45909</v>
      </c>
      <c r="B248" t="s">
        <v>183</v>
      </c>
      <c r="C248">
        <v>1</v>
      </c>
      <c r="D248">
        <v>25</v>
      </c>
      <c r="F248" s="9">
        <f t="shared" si="6"/>
        <v>25</v>
      </c>
      <c r="G248" s="9">
        <f t="shared" si="7"/>
        <v>0</v>
      </c>
      <c r="H248" s="8" t="s">
        <v>21</v>
      </c>
    </row>
    <row r="249" spans="1:9" ht="15.75" customHeight="1">
      <c r="A249" s="30">
        <v>45909</v>
      </c>
      <c r="B249" t="s">
        <v>184</v>
      </c>
      <c r="C249">
        <v>3</v>
      </c>
      <c r="D249">
        <v>35</v>
      </c>
      <c r="F249" s="9">
        <f t="shared" si="6"/>
        <v>105</v>
      </c>
      <c r="G249" s="9">
        <f t="shared" si="7"/>
        <v>0</v>
      </c>
      <c r="H249" s="8" t="s">
        <v>21</v>
      </c>
    </row>
    <row r="250" spans="1:9" ht="15.75" customHeight="1">
      <c r="A250" s="30">
        <v>45909</v>
      </c>
      <c r="B250" t="s">
        <v>23</v>
      </c>
      <c r="C250">
        <v>2</v>
      </c>
      <c r="D250">
        <v>70</v>
      </c>
      <c r="E250" s="4">
        <f>20/140*100</f>
        <v>14.285714285714301</v>
      </c>
      <c r="F250" s="9">
        <f t="shared" si="6"/>
        <v>120</v>
      </c>
      <c r="G250" s="9">
        <f t="shared" si="7"/>
        <v>20</v>
      </c>
      <c r="H250" s="8" t="s">
        <v>21</v>
      </c>
    </row>
    <row r="251" spans="1:9" ht="15.75" customHeight="1">
      <c r="A251" s="30">
        <v>45909</v>
      </c>
      <c r="B251" t="s">
        <v>42</v>
      </c>
      <c r="C251">
        <v>1</v>
      </c>
      <c r="D251">
        <v>90</v>
      </c>
      <c r="F251" s="9">
        <f t="shared" si="6"/>
        <v>90</v>
      </c>
      <c r="G251" s="9">
        <f t="shared" si="7"/>
        <v>0</v>
      </c>
      <c r="H251" s="8" t="s">
        <v>21</v>
      </c>
    </row>
    <row r="252" spans="1:9" ht="15.75" customHeight="1">
      <c r="A252" s="30">
        <v>45909</v>
      </c>
      <c r="B252" t="s">
        <v>42</v>
      </c>
      <c r="C252">
        <v>1</v>
      </c>
      <c r="D252">
        <v>90</v>
      </c>
      <c r="F252" s="9">
        <f t="shared" si="6"/>
        <v>90</v>
      </c>
      <c r="G252" s="9">
        <f t="shared" si="7"/>
        <v>0</v>
      </c>
      <c r="H252" s="8" t="s">
        <v>9</v>
      </c>
    </row>
    <row r="253" spans="1:9" ht="15.75" customHeight="1">
      <c r="A253" s="30">
        <v>45909</v>
      </c>
      <c r="B253" t="s">
        <v>185</v>
      </c>
      <c r="C253">
        <v>1</v>
      </c>
      <c r="D253">
        <v>30</v>
      </c>
      <c r="F253" s="9">
        <f t="shared" si="6"/>
        <v>30</v>
      </c>
      <c r="G253" s="9">
        <f t="shared" si="7"/>
        <v>0</v>
      </c>
      <c r="H253" s="8" t="s">
        <v>9</v>
      </c>
    </row>
    <row r="254" spans="1:9" ht="15.75" customHeight="1">
      <c r="A254" s="30">
        <v>45909</v>
      </c>
      <c r="B254" t="s">
        <v>160</v>
      </c>
      <c r="C254">
        <v>1</v>
      </c>
      <c r="D254">
        <v>30</v>
      </c>
      <c r="F254" s="9">
        <f t="shared" si="6"/>
        <v>30</v>
      </c>
      <c r="G254" s="9">
        <f t="shared" si="7"/>
        <v>0</v>
      </c>
      <c r="H254" s="8" t="s">
        <v>9</v>
      </c>
    </row>
    <row r="255" spans="1:9" ht="15.75" customHeight="1">
      <c r="A255" s="30">
        <v>45910</v>
      </c>
      <c r="B255" t="s">
        <v>46</v>
      </c>
      <c r="C255">
        <v>1</v>
      </c>
      <c r="D255">
        <v>90</v>
      </c>
      <c r="F255" s="9">
        <f t="shared" si="6"/>
        <v>90</v>
      </c>
      <c r="G255" s="9">
        <f t="shared" si="7"/>
        <v>0</v>
      </c>
      <c r="H255" s="8" t="s">
        <v>9</v>
      </c>
    </row>
    <row r="256" spans="1:9" ht="15.75" customHeight="1">
      <c r="A256" s="30">
        <v>45910</v>
      </c>
      <c r="B256" t="s">
        <v>179</v>
      </c>
      <c r="C256">
        <v>1</v>
      </c>
      <c r="D256">
        <v>10</v>
      </c>
      <c r="F256" s="9">
        <f t="shared" si="6"/>
        <v>10</v>
      </c>
      <c r="G256" s="9">
        <f t="shared" si="7"/>
        <v>0</v>
      </c>
      <c r="H256" s="8" t="s">
        <v>9</v>
      </c>
      <c r="I256" t="s">
        <v>186</v>
      </c>
    </row>
    <row r="257" spans="1:9" ht="15.75" customHeight="1">
      <c r="A257" s="30">
        <v>45933</v>
      </c>
      <c r="B257" t="s">
        <v>187</v>
      </c>
      <c r="C257">
        <v>2</v>
      </c>
      <c r="D257">
        <v>27.5</v>
      </c>
      <c r="F257" s="9">
        <f t="shared" si="6"/>
        <v>55</v>
      </c>
      <c r="G257" s="9">
        <f t="shared" si="7"/>
        <v>0</v>
      </c>
      <c r="H257" s="8" t="s">
        <v>9</v>
      </c>
    </row>
    <row r="258" spans="1:9" ht="15.75" customHeight="1">
      <c r="A258" s="30">
        <v>45933</v>
      </c>
      <c r="B258" t="s">
        <v>23</v>
      </c>
      <c r="C258">
        <v>1</v>
      </c>
      <c r="D258">
        <v>70</v>
      </c>
      <c r="E258" s="4">
        <f>10/70*100</f>
        <v>14.285714285714301</v>
      </c>
      <c r="F258" s="9">
        <f t="shared" si="6"/>
        <v>60</v>
      </c>
      <c r="G258" s="9">
        <f t="shared" si="7"/>
        <v>10</v>
      </c>
      <c r="H258" s="8" t="s">
        <v>9</v>
      </c>
    </row>
    <row r="259" spans="1:9" ht="15.75" customHeight="1">
      <c r="A259" s="30">
        <v>45933</v>
      </c>
      <c r="B259" t="s">
        <v>188</v>
      </c>
      <c r="C259">
        <v>1</v>
      </c>
      <c r="D259">
        <v>30</v>
      </c>
      <c r="F259" s="9">
        <f t="shared" si="6"/>
        <v>30</v>
      </c>
      <c r="G259" s="9">
        <f t="shared" si="7"/>
        <v>0</v>
      </c>
      <c r="H259" s="8" t="s">
        <v>9</v>
      </c>
    </row>
    <row r="260" spans="1:9" ht="15.75" customHeight="1">
      <c r="A260" s="30">
        <v>45933</v>
      </c>
      <c r="B260" t="s">
        <v>189</v>
      </c>
      <c r="C260">
        <v>2</v>
      </c>
      <c r="D260">
        <v>15</v>
      </c>
      <c r="E260">
        <f>10/30*100</f>
        <v>33.3333333333333</v>
      </c>
      <c r="F260" s="9">
        <f t="shared" si="6"/>
        <v>20</v>
      </c>
      <c r="G260" s="9">
        <f t="shared" si="7"/>
        <v>10</v>
      </c>
      <c r="H260" s="8" t="s">
        <v>9</v>
      </c>
    </row>
    <row r="261" spans="1:9" ht="15.75" customHeight="1">
      <c r="A261" s="30">
        <v>45933</v>
      </c>
      <c r="B261" t="s">
        <v>189</v>
      </c>
      <c r="C261">
        <v>3</v>
      </c>
      <c r="D261">
        <v>15</v>
      </c>
      <c r="E261">
        <f>15/45*100</f>
        <v>33.3333333333333</v>
      </c>
      <c r="F261" s="9">
        <f t="shared" si="6"/>
        <v>30</v>
      </c>
      <c r="G261" s="9">
        <f t="shared" si="7"/>
        <v>15</v>
      </c>
      <c r="H261" s="8" t="s">
        <v>21</v>
      </c>
    </row>
    <row r="262" spans="1:9" ht="15.75" customHeight="1">
      <c r="A262" s="30">
        <v>45933</v>
      </c>
      <c r="B262" t="s">
        <v>190</v>
      </c>
      <c r="C262">
        <v>1</v>
      </c>
      <c r="D262">
        <v>30</v>
      </c>
      <c r="F262" s="9">
        <f t="shared" si="6"/>
        <v>30</v>
      </c>
      <c r="G262" s="9">
        <f t="shared" si="7"/>
        <v>0</v>
      </c>
      <c r="H262" s="8" t="s">
        <v>21</v>
      </c>
    </row>
    <row r="263" spans="1:9" ht="15.75" customHeight="1">
      <c r="A263" s="30">
        <v>45933</v>
      </c>
      <c r="B263" t="s">
        <v>190</v>
      </c>
      <c r="C263">
        <v>1</v>
      </c>
      <c r="D263">
        <v>30</v>
      </c>
      <c r="E263" s="4">
        <f>11/30*100</f>
        <v>36.6666666666667</v>
      </c>
      <c r="F263" s="9">
        <f t="shared" si="6"/>
        <v>19</v>
      </c>
      <c r="G263" s="9">
        <f t="shared" si="7"/>
        <v>11</v>
      </c>
      <c r="H263" s="8" t="s">
        <v>9</v>
      </c>
    </row>
    <row r="264" spans="1:9" ht="15.75" customHeight="1">
      <c r="A264" s="30">
        <v>45933</v>
      </c>
      <c r="B264" t="s">
        <v>191</v>
      </c>
      <c r="C264">
        <v>1</v>
      </c>
      <c r="D264">
        <v>25</v>
      </c>
      <c r="E264" s="4">
        <f>10/25*100</f>
        <v>40</v>
      </c>
      <c r="F264" s="9">
        <f t="shared" si="6"/>
        <v>15</v>
      </c>
      <c r="G264" s="9">
        <f t="shared" si="7"/>
        <v>10</v>
      </c>
      <c r="H264" s="8" t="s">
        <v>9</v>
      </c>
    </row>
    <row r="265" spans="1:9" ht="15.75" customHeight="1">
      <c r="A265" s="30">
        <v>45933</v>
      </c>
      <c r="B265" t="s">
        <v>192</v>
      </c>
      <c r="C265">
        <v>2</v>
      </c>
      <c r="D265">
        <v>25</v>
      </c>
      <c r="E265" s="4">
        <f>10/50*100</f>
        <v>20</v>
      </c>
      <c r="F265" s="9">
        <f t="shared" si="6"/>
        <v>40</v>
      </c>
      <c r="G265" s="9">
        <f t="shared" si="7"/>
        <v>10</v>
      </c>
      <c r="H265" s="8" t="s">
        <v>9</v>
      </c>
    </row>
    <row r="266" spans="1:9" ht="15.75" customHeight="1">
      <c r="A266" s="30">
        <v>45933</v>
      </c>
      <c r="B266" t="s">
        <v>141</v>
      </c>
      <c r="C266">
        <v>1</v>
      </c>
      <c r="D266">
        <v>10</v>
      </c>
      <c r="E266">
        <v>50</v>
      </c>
      <c r="F266" s="9">
        <f t="shared" si="6"/>
        <v>5</v>
      </c>
      <c r="G266" s="9">
        <f t="shared" si="7"/>
        <v>5</v>
      </c>
      <c r="H266" s="8" t="s">
        <v>9</v>
      </c>
    </row>
    <row r="267" spans="1:9" ht="15.75" customHeight="1">
      <c r="A267" s="30">
        <v>45933</v>
      </c>
      <c r="B267" t="s">
        <v>193</v>
      </c>
      <c r="C267">
        <v>1</v>
      </c>
      <c r="D267">
        <v>40</v>
      </c>
      <c r="E267" s="4">
        <f>10/40*100</f>
        <v>25</v>
      </c>
      <c r="F267" s="9">
        <f t="shared" si="6"/>
        <v>30</v>
      </c>
      <c r="G267" s="9">
        <f t="shared" si="7"/>
        <v>10</v>
      </c>
      <c r="H267" s="8" t="s">
        <v>9</v>
      </c>
    </row>
    <row r="268" spans="1:9" ht="15.75" customHeight="1">
      <c r="A268" s="30">
        <v>45933</v>
      </c>
      <c r="B268" t="s">
        <v>22</v>
      </c>
      <c r="C268">
        <v>1</v>
      </c>
      <c r="D268">
        <v>55</v>
      </c>
      <c r="E268" s="4">
        <f>10/55*100</f>
        <v>18.181818181818201</v>
      </c>
      <c r="F268" s="9">
        <f t="shared" si="6"/>
        <v>45</v>
      </c>
      <c r="G268" s="9">
        <f t="shared" si="7"/>
        <v>10</v>
      </c>
      <c r="H268" s="8" t="s">
        <v>9</v>
      </c>
    </row>
    <row r="269" spans="1:9" ht="15.75" customHeight="1">
      <c r="A269" s="30">
        <v>45933</v>
      </c>
      <c r="B269" t="s">
        <v>189</v>
      </c>
      <c r="C269">
        <v>2</v>
      </c>
      <c r="D269">
        <v>15</v>
      </c>
      <c r="E269">
        <v>33.333333332999999</v>
      </c>
      <c r="F269" s="9">
        <f t="shared" si="6"/>
        <v>20.000000000099998</v>
      </c>
      <c r="G269" s="9">
        <f t="shared" si="7"/>
        <v>9.9999999999</v>
      </c>
      <c r="H269" s="8" t="s">
        <v>9</v>
      </c>
    </row>
    <row r="270" spans="1:9" ht="15.75" customHeight="1">
      <c r="A270" s="30">
        <v>45933</v>
      </c>
      <c r="B270" t="s">
        <v>194</v>
      </c>
      <c r="C270">
        <v>1</v>
      </c>
      <c r="D270">
        <v>20</v>
      </c>
      <c r="F270" s="9">
        <f t="shared" si="6"/>
        <v>20</v>
      </c>
      <c r="G270" s="9">
        <f t="shared" si="7"/>
        <v>0</v>
      </c>
      <c r="H270" s="8" t="s">
        <v>9</v>
      </c>
    </row>
    <row r="271" spans="1:9" ht="15.75" customHeight="1">
      <c r="A271" s="30">
        <v>45933</v>
      </c>
      <c r="B271" t="s">
        <v>189</v>
      </c>
      <c r="C271">
        <v>8</v>
      </c>
      <c r="D271">
        <v>15</v>
      </c>
      <c r="E271" s="4">
        <f>40/120*100</f>
        <v>33.3333333333333</v>
      </c>
      <c r="F271" s="9">
        <f t="shared" si="6"/>
        <v>80</v>
      </c>
      <c r="G271" s="9">
        <f t="shared" si="7"/>
        <v>40</v>
      </c>
      <c r="H271" s="8" t="s">
        <v>9</v>
      </c>
    </row>
    <row r="272" spans="1:9" ht="15.75" customHeight="1">
      <c r="A272" s="30">
        <v>45933</v>
      </c>
      <c r="B272" t="s">
        <v>195</v>
      </c>
      <c r="C272">
        <v>3</v>
      </c>
      <c r="D272">
        <v>25</v>
      </c>
      <c r="E272">
        <f>20/75*100</f>
        <v>26.6666666666667</v>
      </c>
      <c r="F272" s="9">
        <f t="shared" si="6"/>
        <v>55</v>
      </c>
      <c r="G272" s="9">
        <f t="shared" si="7"/>
        <v>20</v>
      </c>
      <c r="H272" s="8" t="s">
        <v>9</v>
      </c>
      <c r="I272" t="s">
        <v>196</v>
      </c>
    </row>
    <row r="273" spans="1:26" ht="15.75" customHeight="1">
      <c r="A273" s="30">
        <v>45933</v>
      </c>
      <c r="B273" t="s">
        <v>190</v>
      </c>
      <c r="C273">
        <v>1</v>
      </c>
      <c r="D273">
        <v>30</v>
      </c>
      <c r="E273">
        <v>33.333333332999999</v>
      </c>
      <c r="F273" s="9">
        <f t="shared" si="6"/>
        <v>20.000000000099998</v>
      </c>
      <c r="G273" s="9">
        <f t="shared" si="7"/>
        <v>9.9999999999</v>
      </c>
      <c r="H273" s="8" t="s">
        <v>9</v>
      </c>
    </row>
    <row r="274" spans="1:26" ht="15.75" customHeight="1">
      <c r="A274" s="30">
        <v>45933</v>
      </c>
      <c r="B274" t="s">
        <v>166</v>
      </c>
      <c r="C274">
        <v>1</v>
      </c>
      <c r="D274">
        <v>80</v>
      </c>
      <c r="E274" s="4">
        <f>10/80*100</f>
        <v>12.5</v>
      </c>
      <c r="F274" s="9">
        <f t="shared" si="6"/>
        <v>70</v>
      </c>
      <c r="G274" s="9">
        <f t="shared" si="7"/>
        <v>10</v>
      </c>
      <c r="H274" s="8" t="s">
        <v>21</v>
      </c>
    </row>
    <row r="275" spans="1:26" ht="15.75" customHeight="1">
      <c r="A275" s="30">
        <v>45933</v>
      </c>
      <c r="B275" t="s">
        <v>189</v>
      </c>
      <c r="C275">
        <v>1</v>
      </c>
      <c r="D275">
        <v>15</v>
      </c>
      <c r="E275">
        <v>33.333333332999999</v>
      </c>
      <c r="F275" s="9">
        <f t="shared" si="6"/>
        <v>10.000000000049999</v>
      </c>
      <c r="G275" s="9">
        <f t="shared" si="7"/>
        <v>4.99999999995</v>
      </c>
      <c r="H275" s="8" t="s">
        <v>21</v>
      </c>
    </row>
    <row r="276" spans="1:26" ht="15.75" customHeight="1">
      <c r="A276" s="30">
        <v>45933</v>
      </c>
      <c r="B276" t="s">
        <v>189</v>
      </c>
      <c r="C276">
        <v>6</v>
      </c>
      <c r="D276">
        <v>15</v>
      </c>
      <c r="E276" s="4">
        <f>30/90*100</f>
        <v>33.3333333333333</v>
      </c>
      <c r="F276" s="9">
        <f t="shared" si="6"/>
        <v>60</v>
      </c>
      <c r="G276" s="9">
        <f t="shared" si="7"/>
        <v>30</v>
      </c>
      <c r="H276" s="8" t="s">
        <v>9</v>
      </c>
    </row>
    <row r="277" spans="1:26" ht="15.75" customHeight="1">
      <c r="A277" s="30">
        <v>45933</v>
      </c>
      <c r="B277" t="s">
        <v>180</v>
      </c>
      <c r="C277">
        <v>2</v>
      </c>
      <c r="D277">
        <v>20</v>
      </c>
      <c r="F277" s="9">
        <f t="shared" si="6"/>
        <v>40</v>
      </c>
      <c r="G277" s="9">
        <f t="shared" si="7"/>
        <v>0</v>
      </c>
      <c r="H277" s="8" t="s">
        <v>9</v>
      </c>
    </row>
    <row r="278" spans="1:26" ht="15.75" customHeight="1">
      <c r="A278" s="30">
        <v>45933</v>
      </c>
      <c r="B278" t="s">
        <v>85</v>
      </c>
      <c r="C278">
        <v>1</v>
      </c>
      <c r="D278">
        <v>50</v>
      </c>
      <c r="E278" s="4">
        <f>12/50*100</f>
        <v>24</v>
      </c>
      <c r="F278" s="9">
        <f t="shared" si="6"/>
        <v>38</v>
      </c>
      <c r="G278" s="9">
        <f t="shared" si="7"/>
        <v>12</v>
      </c>
      <c r="H278" s="8" t="s">
        <v>9</v>
      </c>
    </row>
    <row r="279" spans="1:26" ht="15.75" customHeight="1">
      <c r="A279" s="31">
        <v>45933</v>
      </c>
      <c r="B279" s="6" t="s">
        <v>197</v>
      </c>
      <c r="C279" s="6">
        <v>1</v>
      </c>
      <c r="D279" s="6">
        <v>40</v>
      </c>
      <c r="E279" s="7">
        <f>5/40*100</f>
        <v>12.5</v>
      </c>
      <c r="F279" s="11">
        <f t="shared" si="6"/>
        <v>35</v>
      </c>
      <c r="G279" s="11">
        <f t="shared" si="7"/>
        <v>5</v>
      </c>
      <c r="H279" s="10" t="s">
        <v>9</v>
      </c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30">
        <v>45885</v>
      </c>
      <c r="B280" t="s">
        <v>148</v>
      </c>
      <c r="C280">
        <v>2</v>
      </c>
      <c r="D280">
        <v>40</v>
      </c>
      <c r="E280" s="4">
        <f>10/80*100</f>
        <v>12.5</v>
      </c>
      <c r="F280" s="9">
        <f t="shared" si="6"/>
        <v>70</v>
      </c>
      <c r="G280" s="9">
        <f t="shared" si="7"/>
        <v>10</v>
      </c>
      <c r="H280" s="8" t="s">
        <v>9</v>
      </c>
    </row>
    <row r="281" spans="1:26" ht="15.75" customHeight="1">
      <c r="A281" s="30">
        <v>45885</v>
      </c>
      <c r="B281" t="s">
        <v>198</v>
      </c>
      <c r="C281">
        <v>1</v>
      </c>
      <c r="D281">
        <v>80</v>
      </c>
      <c r="F281" s="9">
        <f t="shared" si="6"/>
        <v>80</v>
      </c>
      <c r="G281" s="9">
        <f t="shared" si="7"/>
        <v>0</v>
      </c>
      <c r="H281" s="8" t="s">
        <v>9</v>
      </c>
    </row>
    <row r="282" spans="1:26" ht="15.75" customHeight="1">
      <c r="A282" s="30">
        <v>45885</v>
      </c>
      <c r="B282" t="s">
        <v>199</v>
      </c>
      <c r="C282">
        <v>1</v>
      </c>
      <c r="D282">
        <v>30</v>
      </c>
      <c r="F282" s="9">
        <f t="shared" si="6"/>
        <v>30</v>
      </c>
      <c r="G282" s="9">
        <f t="shared" si="7"/>
        <v>0</v>
      </c>
      <c r="H282" s="8" t="s">
        <v>9</v>
      </c>
    </row>
    <row r="283" spans="1:26" ht="15.75" customHeight="1">
      <c r="A283" s="30">
        <v>45885</v>
      </c>
      <c r="B283" t="s">
        <v>26</v>
      </c>
      <c r="C283">
        <v>3</v>
      </c>
      <c r="D283">
        <v>110</v>
      </c>
      <c r="E283" s="4">
        <f>60/330*100</f>
        <v>18.181818181818201</v>
      </c>
      <c r="F283" s="9">
        <f t="shared" si="6"/>
        <v>270</v>
      </c>
      <c r="G283" s="9">
        <f t="shared" si="7"/>
        <v>60</v>
      </c>
      <c r="H283" s="8" t="s">
        <v>9</v>
      </c>
    </row>
    <row r="284" spans="1:26" ht="15.75" customHeight="1">
      <c r="A284" s="30">
        <v>45882</v>
      </c>
      <c r="B284" t="s">
        <v>200</v>
      </c>
      <c r="C284">
        <v>4</v>
      </c>
      <c r="D284">
        <v>30</v>
      </c>
      <c r="E284">
        <v>33.333333332999999</v>
      </c>
      <c r="F284" s="9">
        <f t="shared" si="6"/>
        <v>80.000000000399993</v>
      </c>
      <c r="G284" s="9">
        <f t="shared" si="7"/>
        <v>39.9999999996</v>
      </c>
      <c r="H284" s="8" t="s">
        <v>9</v>
      </c>
    </row>
    <row r="285" spans="1:26" ht="15.75" customHeight="1">
      <c r="A285" s="30">
        <v>45882</v>
      </c>
      <c r="B285" t="s">
        <v>75</v>
      </c>
      <c r="C285">
        <v>2</v>
      </c>
      <c r="D285">
        <v>25</v>
      </c>
      <c r="E285">
        <v>20</v>
      </c>
      <c r="F285" s="9">
        <f t="shared" si="6"/>
        <v>40</v>
      </c>
      <c r="G285" s="9">
        <f t="shared" si="7"/>
        <v>10</v>
      </c>
      <c r="H285" s="8" t="s">
        <v>9</v>
      </c>
    </row>
    <row r="286" spans="1:26" ht="15.75" customHeight="1">
      <c r="A286" s="30">
        <v>45882</v>
      </c>
      <c r="B286" t="s">
        <v>201</v>
      </c>
      <c r="C286">
        <v>1</v>
      </c>
      <c r="D286">
        <v>80</v>
      </c>
      <c r="F286" s="9">
        <f t="shared" si="6"/>
        <v>80</v>
      </c>
      <c r="G286" s="9">
        <f t="shared" si="7"/>
        <v>0</v>
      </c>
      <c r="H286" s="8" t="s">
        <v>9</v>
      </c>
    </row>
    <row r="287" spans="1:26" ht="15.75" customHeight="1">
      <c r="A287" s="30">
        <v>45882</v>
      </c>
      <c r="B287" t="s">
        <v>198</v>
      </c>
      <c r="C287">
        <v>1</v>
      </c>
      <c r="D287">
        <v>80</v>
      </c>
      <c r="F287" s="9">
        <f t="shared" si="6"/>
        <v>80</v>
      </c>
      <c r="G287" s="9">
        <f t="shared" si="7"/>
        <v>0</v>
      </c>
      <c r="H287" s="8" t="s">
        <v>9</v>
      </c>
    </row>
    <row r="288" spans="1:26" ht="15.75" customHeight="1">
      <c r="A288" s="30">
        <v>45882</v>
      </c>
      <c r="B288" t="s">
        <v>202</v>
      </c>
      <c r="C288">
        <v>1</v>
      </c>
      <c r="D288">
        <v>80</v>
      </c>
      <c r="E288" s="4">
        <f>10/80*100</f>
        <v>12.5</v>
      </c>
      <c r="F288" s="9">
        <f t="shared" si="6"/>
        <v>70</v>
      </c>
      <c r="G288" s="9">
        <f t="shared" si="7"/>
        <v>10</v>
      </c>
      <c r="H288" s="8" t="s">
        <v>21</v>
      </c>
    </row>
    <row r="289" spans="1:26" ht="15.75" customHeight="1">
      <c r="A289" s="30">
        <v>45882</v>
      </c>
      <c r="B289" t="s">
        <v>148</v>
      </c>
      <c r="C289">
        <v>1</v>
      </c>
      <c r="D289">
        <v>40</v>
      </c>
      <c r="F289" s="9">
        <f t="shared" si="6"/>
        <v>40</v>
      </c>
      <c r="G289" s="9">
        <f t="shared" si="7"/>
        <v>0</v>
      </c>
      <c r="H289" s="8" t="s">
        <v>9</v>
      </c>
    </row>
    <row r="290" spans="1:26" ht="15.75" customHeight="1">
      <c r="A290" s="31">
        <v>45882</v>
      </c>
      <c r="B290" s="6" t="s">
        <v>203</v>
      </c>
      <c r="C290" s="6">
        <v>2</v>
      </c>
      <c r="D290" s="6">
        <v>45</v>
      </c>
      <c r="E290" s="7"/>
      <c r="F290" s="11">
        <f t="shared" si="6"/>
        <v>90</v>
      </c>
      <c r="G290" s="11">
        <f t="shared" si="7"/>
        <v>0</v>
      </c>
      <c r="H290" s="10" t="s">
        <v>9</v>
      </c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30">
        <v>45882</v>
      </c>
      <c r="B291" t="s">
        <v>75</v>
      </c>
      <c r="C291">
        <v>1</v>
      </c>
      <c r="D291">
        <v>25</v>
      </c>
      <c r="E291">
        <v>20</v>
      </c>
      <c r="F291" s="9">
        <f t="shared" si="6"/>
        <v>20</v>
      </c>
      <c r="G291" s="9">
        <f t="shared" si="7"/>
        <v>5</v>
      </c>
      <c r="H291" s="8" t="s">
        <v>9</v>
      </c>
    </row>
    <row r="292" spans="1:26" ht="15.75" customHeight="1">
      <c r="A292" s="30">
        <v>45882</v>
      </c>
      <c r="B292" t="s">
        <v>204</v>
      </c>
      <c r="C292">
        <v>1</v>
      </c>
      <c r="D292">
        <v>20</v>
      </c>
      <c r="E292">
        <v>25</v>
      </c>
      <c r="F292" s="9">
        <f t="shared" si="6"/>
        <v>15</v>
      </c>
      <c r="G292" s="9">
        <f t="shared" si="7"/>
        <v>5</v>
      </c>
      <c r="H292" s="8" t="s">
        <v>9</v>
      </c>
    </row>
    <row r="293" spans="1:26" ht="15.75" customHeight="1">
      <c r="A293" s="30">
        <v>45882</v>
      </c>
      <c r="B293" t="s">
        <v>205</v>
      </c>
      <c r="C293">
        <v>1</v>
      </c>
      <c r="D293">
        <v>55</v>
      </c>
      <c r="F293" s="9">
        <f t="shared" si="6"/>
        <v>55</v>
      </c>
      <c r="G293" s="9">
        <f t="shared" si="7"/>
        <v>0</v>
      </c>
      <c r="H293" s="8" t="s">
        <v>21</v>
      </c>
    </row>
    <row r="294" spans="1:26" ht="15.75" customHeight="1">
      <c r="A294" s="30">
        <v>45882</v>
      </c>
      <c r="B294" t="s">
        <v>206</v>
      </c>
      <c r="C294">
        <v>6</v>
      </c>
      <c r="D294">
        <v>27</v>
      </c>
      <c r="E294" s="4">
        <f>12/162*100</f>
        <v>7.4074074074074101</v>
      </c>
      <c r="F294" s="9">
        <f t="shared" si="6"/>
        <v>150</v>
      </c>
      <c r="G294" s="9">
        <f t="shared" si="7"/>
        <v>12</v>
      </c>
      <c r="H294" s="8" t="s">
        <v>21</v>
      </c>
    </row>
    <row r="295" spans="1:26" ht="15.75" customHeight="1">
      <c r="A295" s="30">
        <v>45882</v>
      </c>
      <c r="B295" t="s">
        <v>42</v>
      </c>
      <c r="C295">
        <v>1</v>
      </c>
      <c r="D295">
        <v>90</v>
      </c>
      <c r="F295" s="9">
        <f t="shared" si="6"/>
        <v>90</v>
      </c>
      <c r="G295" s="9">
        <f t="shared" si="7"/>
        <v>0</v>
      </c>
      <c r="H295" s="8" t="s">
        <v>21</v>
      </c>
    </row>
    <row r="296" spans="1:26" ht="15.75" customHeight="1">
      <c r="A296" s="30">
        <v>45882</v>
      </c>
      <c r="B296" t="s">
        <v>75</v>
      </c>
      <c r="C296">
        <v>1</v>
      </c>
      <c r="D296">
        <v>25</v>
      </c>
      <c r="F296" s="9">
        <f t="shared" si="6"/>
        <v>25</v>
      </c>
      <c r="G296" s="9">
        <f t="shared" si="7"/>
        <v>0</v>
      </c>
      <c r="H296" s="8" t="s">
        <v>21</v>
      </c>
    </row>
    <row r="297" spans="1:26" ht="15.75" customHeight="1">
      <c r="A297" s="30">
        <v>45882</v>
      </c>
      <c r="B297" t="s">
        <v>148</v>
      </c>
      <c r="C297">
        <v>1</v>
      </c>
      <c r="D297">
        <v>40</v>
      </c>
      <c r="F297" s="9">
        <f t="shared" si="6"/>
        <v>40</v>
      </c>
      <c r="G297" s="9">
        <f t="shared" si="7"/>
        <v>0</v>
      </c>
      <c r="H297" s="8" t="s">
        <v>21</v>
      </c>
    </row>
    <row r="298" spans="1:26" ht="15.75" customHeight="1">
      <c r="A298" s="30">
        <v>45882</v>
      </c>
      <c r="B298" t="s">
        <v>207</v>
      </c>
      <c r="C298">
        <v>1</v>
      </c>
      <c r="D298">
        <v>25</v>
      </c>
      <c r="F298" s="9">
        <f t="shared" si="6"/>
        <v>25</v>
      </c>
      <c r="G298" s="9">
        <f t="shared" si="7"/>
        <v>0</v>
      </c>
      <c r="H298" s="8" t="s">
        <v>9</v>
      </c>
    </row>
    <row r="299" spans="1:26" ht="15.75" customHeight="1">
      <c r="A299" s="30">
        <v>45882</v>
      </c>
      <c r="B299" t="s">
        <v>75</v>
      </c>
      <c r="C299">
        <v>1</v>
      </c>
      <c r="D299">
        <v>25</v>
      </c>
      <c r="F299" s="9">
        <f t="shared" si="6"/>
        <v>25</v>
      </c>
      <c r="G299" s="9">
        <f t="shared" si="7"/>
        <v>0</v>
      </c>
      <c r="H299" s="8" t="s">
        <v>9</v>
      </c>
    </row>
    <row r="300" spans="1:26" ht="15.75" customHeight="1">
      <c r="A300" s="30">
        <v>45882</v>
      </c>
      <c r="B300" t="s">
        <v>85</v>
      </c>
      <c r="C300">
        <v>1</v>
      </c>
      <c r="D300">
        <v>50</v>
      </c>
      <c r="F300" s="9">
        <f t="shared" si="6"/>
        <v>50</v>
      </c>
      <c r="G300" s="9">
        <f t="shared" si="7"/>
        <v>0</v>
      </c>
      <c r="H300" s="8" t="s">
        <v>9</v>
      </c>
    </row>
    <row r="301" spans="1:26" ht="15.75" customHeight="1">
      <c r="A301" s="30">
        <v>45885</v>
      </c>
      <c r="B301" t="s">
        <v>28</v>
      </c>
      <c r="C301">
        <v>4</v>
      </c>
      <c r="D301">
        <v>20</v>
      </c>
      <c r="E301">
        <v>25</v>
      </c>
      <c r="F301" s="9">
        <f t="shared" si="6"/>
        <v>60</v>
      </c>
      <c r="G301" s="9">
        <f t="shared" si="7"/>
        <v>20</v>
      </c>
      <c r="H301" s="8" t="s">
        <v>9</v>
      </c>
    </row>
    <row r="302" spans="1:26" ht="15.75" customHeight="1">
      <c r="A302" s="30">
        <v>45885</v>
      </c>
      <c r="B302" t="s">
        <v>208</v>
      </c>
      <c r="C302">
        <v>1</v>
      </c>
      <c r="D302">
        <v>30</v>
      </c>
      <c r="E302" s="4">
        <f>5/30*100</f>
        <v>16.6666666666667</v>
      </c>
      <c r="F302" s="9">
        <f t="shared" si="6"/>
        <v>25</v>
      </c>
      <c r="G302" s="9">
        <f t="shared" si="7"/>
        <v>5</v>
      </c>
      <c r="H302" s="8" t="s">
        <v>9</v>
      </c>
    </row>
    <row r="303" spans="1:26" ht="15.75" customHeight="1">
      <c r="A303" s="31">
        <v>45885</v>
      </c>
      <c r="B303" s="6" t="s">
        <v>209</v>
      </c>
      <c r="C303" s="6">
        <v>1</v>
      </c>
      <c r="D303" s="6">
        <v>55</v>
      </c>
      <c r="E303" s="7"/>
      <c r="F303" s="11">
        <f t="shared" si="6"/>
        <v>55</v>
      </c>
      <c r="G303" s="11">
        <f t="shared" si="7"/>
        <v>0</v>
      </c>
      <c r="H303" s="10" t="s">
        <v>9</v>
      </c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30">
        <v>45885</v>
      </c>
      <c r="B304" t="s">
        <v>75</v>
      </c>
      <c r="C304">
        <v>3</v>
      </c>
      <c r="D304">
        <v>25</v>
      </c>
      <c r="E304" s="4">
        <f>15/75*100</f>
        <v>20</v>
      </c>
      <c r="F304" s="9">
        <f t="shared" si="6"/>
        <v>60</v>
      </c>
      <c r="G304" s="9">
        <f t="shared" si="7"/>
        <v>15</v>
      </c>
      <c r="H304" s="8" t="s">
        <v>9</v>
      </c>
    </row>
    <row r="305" spans="1:26" ht="15.75" customHeight="1">
      <c r="A305" s="30">
        <v>45885</v>
      </c>
      <c r="B305" t="s">
        <v>210</v>
      </c>
      <c r="C305">
        <v>1</v>
      </c>
      <c r="D305">
        <v>20</v>
      </c>
      <c r="E305">
        <v>25</v>
      </c>
      <c r="F305" s="9">
        <f t="shared" si="6"/>
        <v>15</v>
      </c>
      <c r="G305" s="9">
        <f t="shared" si="7"/>
        <v>5</v>
      </c>
      <c r="H305" s="8" t="s">
        <v>9</v>
      </c>
    </row>
    <row r="306" spans="1:26" ht="15.75" customHeight="1">
      <c r="A306" s="30">
        <v>45885</v>
      </c>
      <c r="B306" t="s">
        <v>211</v>
      </c>
      <c r="C306">
        <v>1</v>
      </c>
      <c r="D306">
        <v>40</v>
      </c>
      <c r="E306">
        <v>25</v>
      </c>
      <c r="F306" s="9">
        <f t="shared" si="6"/>
        <v>30</v>
      </c>
      <c r="G306" s="9">
        <f t="shared" si="7"/>
        <v>10</v>
      </c>
      <c r="H306" s="8" t="s">
        <v>9</v>
      </c>
    </row>
    <row r="307" spans="1:26" ht="15.75" customHeight="1">
      <c r="A307" s="30">
        <v>45885</v>
      </c>
      <c r="B307" t="s">
        <v>169</v>
      </c>
      <c r="C307">
        <v>1</v>
      </c>
      <c r="D307">
        <v>30</v>
      </c>
      <c r="E307">
        <v>16.666666667000001</v>
      </c>
      <c r="F307" s="9">
        <f t="shared" si="6"/>
        <v>24.999999999900002</v>
      </c>
      <c r="G307" s="9">
        <f t="shared" si="7"/>
        <v>5.0000000001</v>
      </c>
      <c r="H307" s="8" t="s">
        <v>9</v>
      </c>
    </row>
    <row r="308" spans="1:26" ht="15.75" customHeight="1">
      <c r="A308" s="30">
        <v>45885</v>
      </c>
      <c r="B308" t="s">
        <v>212</v>
      </c>
      <c r="C308">
        <v>1</v>
      </c>
      <c r="D308">
        <v>150</v>
      </c>
      <c r="E308" s="4">
        <f>30/150*100</f>
        <v>20</v>
      </c>
      <c r="F308" s="9">
        <f t="shared" si="6"/>
        <v>120</v>
      </c>
      <c r="G308" s="9">
        <f t="shared" si="7"/>
        <v>30</v>
      </c>
      <c r="H308" s="8" t="s">
        <v>9</v>
      </c>
      <c r="J308" t="s">
        <v>213</v>
      </c>
    </row>
    <row r="309" spans="1:26" ht="15.75" customHeight="1">
      <c r="A309" s="30">
        <v>45885</v>
      </c>
      <c r="B309" t="s">
        <v>214</v>
      </c>
      <c r="C309">
        <v>1</v>
      </c>
      <c r="D309">
        <v>50</v>
      </c>
      <c r="E309">
        <v>20</v>
      </c>
      <c r="F309" s="9">
        <f t="shared" si="6"/>
        <v>40</v>
      </c>
      <c r="G309" s="9">
        <f t="shared" si="7"/>
        <v>10</v>
      </c>
      <c r="H309" s="8" t="s">
        <v>9</v>
      </c>
    </row>
    <row r="310" spans="1:26" ht="15.75" customHeight="1">
      <c r="A310" s="30">
        <v>45885</v>
      </c>
      <c r="B310" t="s">
        <v>215</v>
      </c>
      <c r="C310">
        <v>1</v>
      </c>
      <c r="D310">
        <v>90</v>
      </c>
      <c r="F310" s="9">
        <f t="shared" si="6"/>
        <v>90</v>
      </c>
      <c r="G310" s="9">
        <f t="shared" si="7"/>
        <v>0</v>
      </c>
      <c r="H310" s="8" t="s">
        <v>21</v>
      </c>
    </row>
    <row r="311" spans="1:26" ht="15.75" customHeight="1">
      <c r="A311" s="30">
        <v>45885</v>
      </c>
      <c r="B311" t="s">
        <v>216</v>
      </c>
      <c r="C311">
        <v>3</v>
      </c>
      <c r="D311">
        <v>15</v>
      </c>
      <c r="E311">
        <v>33.333333332999999</v>
      </c>
      <c r="F311" s="9">
        <f t="shared" si="6"/>
        <v>30.000000000149999</v>
      </c>
      <c r="G311" s="9">
        <f t="shared" si="7"/>
        <v>14.999999999850001</v>
      </c>
      <c r="H311" s="8" t="s">
        <v>21</v>
      </c>
    </row>
    <row r="312" spans="1:26" ht="15.75" customHeight="1">
      <c r="A312" s="30">
        <v>45885</v>
      </c>
      <c r="B312" t="s">
        <v>140</v>
      </c>
      <c r="C312">
        <v>1</v>
      </c>
      <c r="D312">
        <v>40</v>
      </c>
      <c r="F312" s="9">
        <f t="shared" si="6"/>
        <v>40</v>
      </c>
      <c r="G312" s="9">
        <f t="shared" si="7"/>
        <v>0</v>
      </c>
      <c r="H312" s="8" t="s">
        <v>21</v>
      </c>
    </row>
    <row r="313" spans="1:26" ht="15.75" customHeight="1">
      <c r="A313" s="30">
        <v>45885</v>
      </c>
      <c r="B313" t="s">
        <v>217</v>
      </c>
      <c r="C313">
        <v>1</v>
      </c>
      <c r="D313">
        <v>80</v>
      </c>
      <c r="F313" s="9">
        <f t="shared" si="6"/>
        <v>80</v>
      </c>
      <c r="G313" s="9">
        <f t="shared" si="7"/>
        <v>0</v>
      </c>
      <c r="H313" s="8" t="s">
        <v>21</v>
      </c>
      <c r="J313" t="s">
        <v>218</v>
      </c>
    </row>
    <row r="314" spans="1:26" ht="15.75" customHeight="1">
      <c r="A314" s="33">
        <v>45885</v>
      </c>
      <c r="B314" s="16" t="s">
        <v>219</v>
      </c>
      <c r="C314" s="16">
        <v>1</v>
      </c>
      <c r="D314" s="16">
        <v>60</v>
      </c>
      <c r="E314" s="17"/>
      <c r="F314" s="18">
        <f t="shared" si="6"/>
        <v>60</v>
      </c>
      <c r="G314" s="18">
        <f t="shared" si="7"/>
        <v>0</v>
      </c>
      <c r="H314" s="19" t="s">
        <v>9</v>
      </c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>
      <c r="A315" s="30">
        <v>45885</v>
      </c>
      <c r="B315" t="s">
        <v>75</v>
      </c>
      <c r="C315">
        <v>1</v>
      </c>
      <c r="D315">
        <v>25</v>
      </c>
      <c r="F315" s="9">
        <f t="shared" si="6"/>
        <v>25</v>
      </c>
      <c r="G315" s="9">
        <f t="shared" si="7"/>
        <v>0</v>
      </c>
      <c r="H315" s="8" t="s">
        <v>9</v>
      </c>
    </row>
    <row r="316" spans="1:26" ht="15.75" customHeight="1">
      <c r="A316" s="31">
        <v>45885</v>
      </c>
      <c r="B316" s="6" t="s">
        <v>220</v>
      </c>
      <c r="C316" s="6">
        <v>1</v>
      </c>
      <c r="D316" s="6">
        <v>40</v>
      </c>
      <c r="E316" s="7"/>
      <c r="F316" s="11">
        <f t="shared" si="6"/>
        <v>40</v>
      </c>
      <c r="G316" s="11">
        <f t="shared" si="7"/>
        <v>0</v>
      </c>
      <c r="H316" s="10" t="s">
        <v>9</v>
      </c>
      <c r="I316" s="7"/>
      <c r="J316" s="6" t="s">
        <v>218</v>
      </c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30">
        <v>45885</v>
      </c>
      <c r="B317" t="s">
        <v>185</v>
      </c>
      <c r="C317">
        <v>1</v>
      </c>
      <c r="D317">
        <v>30</v>
      </c>
      <c r="F317" s="9">
        <f t="shared" si="6"/>
        <v>30</v>
      </c>
      <c r="G317" s="9">
        <f t="shared" si="7"/>
        <v>0</v>
      </c>
      <c r="H317" s="8" t="s">
        <v>21</v>
      </c>
    </row>
    <row r="318" spans="1:26" ht="15.75" customHeight="1">
      <c r="A318" s="30">
        <v>45885</v>
      </c>
      <c r="B318" t="s">
        <v>221</v>
      </c>
      <c r="C318">
        <v>1</v>
      </c>
      <c r="D318">
        <v>80</v>
      </c>
      <c r="F318" s="9">
        <f t="shared" si="6"/>
        <v>80</v>
      </c>
      <c r="G318" s="9">
        <f t="shared" si="7"/>
        <v>0</v>
      </c>
      <c r="H318" s="8" t="s">
        <v>21</v>
      </c>
    </row>
    <row r="319" spans="1:26" ht="15.75" customHeight="1">
      <c r="A319" s="30">
        <v>45885</v>
      </c>
      <c r="B319" t="s">
        <v>180</v>
      </c>
      <c r="C319">
        <v>1</v>
      </c>
      <c r="D319">
        <v>20</v>
      </c>
      <c r="E319">
        <v>50</v>
      </c>
      <c r="F319" s="9">
        <f t="shared" si="6"/>
        <v>10</v>
      </c>
      <c r="G319" s="9">
        <f t="shared" si="7"/>
        <v>10</v>
      </c>
      <c r="H319" s="8" t="s">
        <v>21</v>
      </c>
    </row>
    <row r="320" spans="1:26" ht="15.75" customHeight="1">
      <c r="A320" s="30">
        <v>45885</v>
      </c>
      <c r="B320" t="s">
        <v>212</v>
      </c>
      <c r="C320">
        <v>1</v>
      </c>
      <c r="D320">
        <v>150</v>
      </c>
      <c r="E320" s="4">
        <f>30/150*100</f>
        <v>20</v>
      </c>
      <c r="F320" s="9">
        <f t="shared" si="6"/>
        <v>120</v>
      </c>
      <c r="G320" s="9">
        <f t="shared" si="7"/>
        <v>30</v>
      </c>
      <c r="H320" s="8" t="s">
        <v>21</v>
      </c>
    </row>
    <row r="321" spans="1:26" ht="15.75" customHeight="1">
      <c r="A321" s="30">
        <v>45885</v>
      </c>
      <c r="B321" t="s">
        <v>148</v>
      </c>
      <c r="C321">
        <v>1</v>
      </c>
      <c r="D321">
        <v>40</v>
      </c>
      <c r="F321" s="9">
        <f t="shared" si="6"/>
        <v>40</v>
      </c>
      <c r="G321" s="9">
        <f t="shared" si="7"/>
        <v>0</v>
      </c>
      <c r="H321" s="8" t="s">
        <v>9</v>
      </c>
    </row>
    <row r="322" spans="1:26" ht="15.75" customHeight="1">
      <c r="A322" s="30">
        <v>45885</v>
      </c>
      <c r="B322" t="s">
        <v>185</v>
      </c>
      <c r="C322">
        <v>2</v>
      </c>
      <c r="D322">
        <v>30</v>
      </c>
      <c r="F322" s="9">
        <f t="shared" si="6"/>
        <v>60</v>
      </c>
      <c r="G322" s="9">
        <f t="shared" si="7"/>
        <v>0</v>
      </c>
      <c r="H322" s="8" t="s">
        <v>21</v>
      </c>
    </row>
    <row r="323" spans="1:26" ht="15.75" customHeight="1">
      <c r="A323" s="30">
        <v>45885</v>
      </c>
      <c r="B323" t="s">
        <v>141</v>
      </c>
      <c r="C323">
        <v>1</v>
      </c>
      <c r="D323">
        <v>10</v>
      </c>
      <c r="F323" s="9">
        <f t="shared" si="6"/>
        <v>10</v>
      </c>
      <c r="G323" s="9">
        <f t="shared" si="7"/>
        <v>0</v>
      </c>
      <c r="H323" s="8" t="s">
        <v>21</v>
      </c>
      <c r="J323" t="s">
        <v>213</v>
      </c>
    </row>
    <row r="324" spans="1:26" ht="15.75" customHeight="1">
      <c r="A324" s="30">
        <v>45885</v>
      </c>
      <c r="B324" t="s">
        <v>211</v>
      </c>
      <c r="C324">
        <v>1</v>
      </c>
      <c r="D324">
        <v>50</v>
      </c>
      <c r="E324">
        <v>20</v>
      </c>
      <c r="F324" s="9">
        <f t="shared" si="6"/>
        <v>40</v>
      </c>
      <c r="G324" s="9">
        <f t="shared" si="7"/>
        <v>10</v>
      </c>
      <c r="H324" s="8" t="s">
        <v>9</v>
      </c>
    </row>
    <row r="325" spans="1:26" ht="15.75" customHeight="1">
      <c r="A325" s="30">
        <v>45885</v>
      </c>
      <c r="B325" t="s">
        <v>176</v>
      </c>
      <c r="C325">
        <v>1</v>
      </c>
      <c r="D325">
        <v>10</v>
      </c>
      <c r="F325" s="9">
        <f t="shared" si="6"/>
        <v>10</v>
      </c>
      <c r="G325" s="9">
        <f t="shared" si="7"/>
        <v>0</v>
      </c>
      <c r="H325" s="8" t="s">
        <v>9</v>
      </c>
    </row>
    <row r="326" spans="1:26" ht="15.75" customHeight="1">
      <c r="A326" s="30">
        <v>45885</v>
      </c>
      <c r="B326" t="s">
        <v>75</v>
      </c>
      <c r="C326">
        <v>3</v>
      </c>
      <c r="D326">
        <v>25</v>
      </c>
      <c r="E326" s="4">
        <f>15/75*100</f>
        <v>20</v>
      </c>
      <c r="F326" s="9">
        <f t="shared" si="6"/>
        <v>60</v>
      </c>
      <c r="G326" s="9">
        <f t="shared" si="7"/>
        <v>15</v>
      </c>
      <c r="H326" s="8" t="s">
        <v>9</v>
      </c>
    </row>
    <row r="327" spans="1:26" ht="15.75" customHeight="1">
      <c r="A327" s="30">
        <v>45885</v>
      </c>
      <c r="B327" t="s">
        <v>222</v>
      </c>
      <c r="C327">
        <v>1</v>
      </c>
      <c r="D327">
        <v>25</v>
      </c>
      <c r="F327" s="9">
        <f t="shared" si="6"/>
        <v>25</v>
      </c>
      <c r="G327" s="9">
        <f t="shared" si="7"/>
        <v>0</v>
      </c>
      <c r="H327" s="8" t="s">
        <v>9</v>
      </c>
      <c r="J327" t="s">
        <v>223</v>
      </c>
    </row>
    <row r="328" spans="1:26" ht="15.75" customHeight="1">
      <c r="A328" s="30">
        <v>45885</v>
      </c>
      <c r="B328" t="s">
        <v>224</v>
      </c>
      <c r="C328">
        <v>3</v>
      </c>
      <c r="D328">
        <v>25</v>
      </c>
      <c r="E328" s="4">
        <f>10/75*100</f>
        <v>13.3333333333333</v>
      </c>
      <c r="F328" s="9">
        <f t="shared" si="6"/>
        <v>65</v>
      </c>
      <c r="G328" s="9">
        <f t="shared" si="7"/>
        <v>10</v>
      </c>
      <c r="H328" s="8" t="s">
        <v>9</v>
      </c>
    </row>
    <row r="329" spans="1:26" ht="15.75" customHeight="1">
      <c r="A329" s="30">
        <v>45885</v>
      </c>
      <c r="B329" t="s">
        <v>225</v>
      </c>
      <c r="C329">
        <v>1</v>
      </c>
      <c r="D329">
        <v>30</v>
      </c>
      <c r="F329" s="9">
        <f t="shared" si="6"/>
        <v>30</v>
      </c>
      <c r="G329" s="9">
        <f t="shared" si="7"/>
        <v>0</v>
      </c>
      <c r="H329" s="8" t="s">
        <v>9</v>
      </c>
    </row>
    <row r="330" spans="1:26" ht="15.75" customHeight="1">
      <c r="A330" s="30">
        <v>45885</v>
      </c>
      <c r="B330" t="s">
        <v>226</v>
      </c>
      <c r="C330">
        <v>1</v>
      </c>
      <c r="D330">
        <v>30</v>
      </c>
      <c r="E330">
        <v>50</v>
      </c>
      <c r="F330" s="9">
        <f t="shared" si="6"/>
        <v>15</v>
      </c>
      <c r="G330" s="9">
        <f t="shared" si="7"/>
        <v>15</v>
      </c>
      <c r="H330" s="8" t="s">
        <v>9</v>
      </c>
    </row>
    <row r="331" spans="1:26" ht="15.75" customHeight="1">
      <c r="A331" s="30">
        <v>45885</v>
      </c>
      <c r="B331" t="s">
        <v>227</v>
      </c>
      <c r="C331">
        <v>1</v>
      </c>
      <c r="D331">
        <v>30</v>
      </c>
      <c r="F331" s="9">
        <f t="shared" si="6"/>
        <v>30</v>
      </c>
      <c r="G331" s="9">
        <f t="shared" si="7"/>
        <v>0</v>
      </c>
      <c r="H331" s="8" t="s">
        <v>9</v>
      </c>
      <c r="J331" t="s">
        <v>213</v>
      </c>
    </row>
    <row r="332" spans="1:26" ht="15.75" customHeight="1">
      <c r="A332" s="30">
        <v>45885</v>
      </c>
      <c r="B332" t="s">
        <v>228</v>
      </c>
      <c r="C332">
        <v>2</v>
      </c>
      <c r="D332">
        <v>20</v>
      </c>
      <c r="F332" s="9">
        <f t="shared" si="6"/>
        <v>40</v>
      </c>
      <c r="G332" s="9">
        <f t="shared" si="7"/>
        <v>0</v>
      </c>
      <c r="H332" s="8" t="s">
        <v>21</v>
      </c>
    </row>
    <row r="333" spans="1:26" ht="15.75" customHeight="1">
      <c r="A333" s="30">
        <v>45883</v>
      </c>
      <c r="B333" t="s">
        <v>26</v>
      </c>
      <c r="C333">
        <v>1</v>
      </c>
      <c r="D333">
        <v>110</v>
      </c>
      <c r="E333" s="4">
        <f>10/110*100</f>
        <v>9.0909090909090899</v>
      </c>
      <c r="F333" s="9">
        <f t="shared" si="6"/>
        <v>100</v>
      </c>
      <c r="G333" s="9">
        <f t="shared" si="7"/>
        <v>10</v>
      </c>
      <c r="H333" s="8" t="s">
        <v>21</v>
      </c>
    </row>
    <row r="334" spans="1:26" ht="15.75" customHeight="1">
      <c r="A334" s="30">
        <v>45883</v>
      </c>
      <c r="B334" t="s">
        <v>26</v>
      </c>
      <c r="C334">
        <v>1</v>
      </c>
      <c r="D334">
        <v>110</v>
      </c>
      <c r="E334">
        <v>-9.0909090910000003</v>
      </c>
      <c r="F334" s="9">
        <f t="shared" si="6"/>
        <v>120.0000000001</v>
      </c>
      <c r="G334" s="9">
        <f t="shared" si="7"/>
        <v>-10.0000000001</v>
      </c>
      <c r="H334" s="8" t="s">
        <v>9</v>
      </c>
    </row>
    <row r="335" spans="1:26" ht="15.75" customHeight="1">
      <c r="A335" s="31">
        <v>45883</v>
      </c>
      <c r="B335" s="6" t="s">
        <v>229</v>
      </c>
      <c r="C335" s="6">
        <v>1</v>
      </c>
      <c r="D335" s="6">
        <v>50</v>
      </c>
      <c r="E335" s="6">
        <v>20</v>
      </c>
      <c r="F335" s="11">
        <f t="shared" si="6"/>
        <v>40</v>
      </c>
      <c r="G335" s="11">
        <f t="shared" si="7"/>
        <v>10</v>
      </c>
      <c r="H335" s="10" t="s">
        <v>21</v>
      </c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30">
        <v>45883</v>
      </c>
      <c r="B336" t="s">
        <v>148</v>
      </c>
      <c r="C336">
        <v>1</v>
      </c>
      <c r="D336">
        <v>40</v>
      </c>
      <c r="E336" s="4">
        <f>6/40*100</f>
        <v>15</v>
      </c>
      <c r="F336" s="9">
        <f t="shared" si="6"/>
        <v>34</v>
      </c>
      <c r="G336" s="9">
        <f t="shared" si="7"/>
        <v>6</v>
      </c>
      <c r="H336" s="8" t="s">
        <v>9</v>
      </c>
    </row>
    <row r="337" spans="1:8" ht="15.75" customHeight="1">
      <c r="A337" s="30">
        <v>45883</v>
      </c>
      <c r="B337" t="s">
        <v>148</v>
      </c>
      <c r="C337">
        <v>1</v>
      </c>
      <c r="D337">
        <v>40</v>
      </c>
      <c r="E337" s="4">
        <f>5/40*100</f>
        <v>12.5</v>
      </c>
      <c r="F337" s="9">
        <f t="shared" si="6"/>
        <v>35</v>
      </c>
      <c r="G337" s="9">
        <f t="shared" si="7"/>
        <v>5</v>
      </c>
      <c r="H337" s="8" t="s">
        <v>9</v>
      </c>
    </row>
    <row r="338" spans="1:8" ht="15.75" customHeight="1">
      <c r="A338" s="30">
        <v>45883</v>
      </c>
      <c r="B338" t="s">
        <v>230</v>
      </c>
      <c r="C338">
        <v>1</v>
      </c>
      <c r="D338">
        <v>100</v>
      </c>
      <c r="E338">
        <v>30</v>
      </c>
      <c r="F338" s="9">
        <f t="shared" si="6"/>
        <v>70</v>
      </c>
      <c r="G338" s="9">
        <f t="shared" si="7"/>
        <v>30</v>
      </c>
      <c r="H338" s="8" t="s">
        <v>21</v>
      </c>
    </row>
    <row r="339" spans="1:8" ht="15.75" customHeight="1">
      <c r="A339" s="30">
        <v>45883</v>
      </c>
      <c r="B339" t="s">
        <v>194</v>
      </c>
      <c r="C339">
        <v>1</v>
      </c>
      <c r="D339">
        <v>25</v>
      </c>
      <c r="F339" s="9">
        <f t="shared" si="6"/>
        <v>25</v>
      </c>
      <c r="G339" s="9">
        <f t="shared" si="7"/>
        <v>0</v>
      </c>
      <c r="H339" s="8" t="s">
        <v>9</v>
      </c>
    </row>
    <row r="340" spans="1:8" ht="15.75" customHeight="1">
      <c r="A340" s="30">
        <v>45883</v>
      </c>
      <c r="B340" t="s">
        <v>42</v>
      </c>
      <c r="C340">
        <v>1</v>
      </c>
      <c r="D340">
        <v>90</v>
      </c>
      <c r="E340" s="4">
        <f>10/90*100</f>
        <v>11.1111111111111</v>
      </c>
      <c r="F340" s="9">
        <f t="shared" si="6"/>
        <v>80</v>
      </c>
      <c r="G340" s="9">
        <f t="shared" si="7"/>
        <v>10</v>
      </c>
      <c r="H340" s="8" t="s">
        <v>21</v>
      </c>
    </row>
    <row r="341" spans="1:8" ht="15.75" customHeight="1">
      <c r="A341" s="30">
        <v>45883</v>
      </c>
      <c r="B341" t="s">
        <v>47</v>
      </c>
      <c r="C341">
        <v>1</v>
      </c>
      <c r="D341">
        <v>55</v>
      </c>
      <c r="E341" s="4">
        <f>10/55*100</f>
        <v>18.181818181818201</v>
      </c>
      <c r="F341" s="9">
        <f t="shared" si="6"/>
        <v>45</v>
      </c>
      <c r="G341" s="9">
        <f t="shared" si="7"/>
        <v>10</v>
      </c>
      <c r="H341" s="8" t="s">
        <v>21</v>
      </c>
    </row>
    <row r="342" spans="1:8" ht="15.75" customHeight="1">
      <c r="A342" s="30">
        <v>45883</v>
      </c>
      <c r="B342" t="s">
        <v>231</v>
      </c>
      <c r="C342">
        <v>2</v>
      </c>
      <c r="D342">
        <v>18</v>
      </c>
      <c r="E342" s="4">
        <f>11/36*100</f>
        <v>30.5555555555556</v>
      </c>
      <c r="F342" s="9">
        <f t="shared" si="6"/>
        <v>25</v>
      </c>
      <c r="G342" s="9">
        <f t="shared" si="7"/>
        <v>11</v>
      </c>
      <c r="H342" s="8" t="s">
        <v>21</v>
      </c>
    </row>
    <row r="343" spans="1:8" ht="15.75" customHeight="1">
      <c r="A343" s="30">
        <v>45883</v>
      </c>
      <c r="B343" t="s">
        <v>148</v>
      </c>
      <c r="C343">
        <v>1</v>
      </c>
      <c r="D343">
        <v>40</v>
      </c>
      <c r="F343" s="9">
        <f t="shared" si="6"/>
        <v>40</v>
      </c>
      <c r="G343" s="9">
        <f t="shared" si="7"/>
        <v>0</v>
      </c>
      <c r="H343" s="8" t="s">
        <v>21</v>
      </c>
    </row>
    <row r="344" spans="1:8" ht="15.75" customHeight="1">
      <c r="A344" s="30">
        <v>45883</v>
      </c>
      <c r="B344" t="s">
        <v>85</v>
      </c>
      <c r="C344">
        <v>1</v>
      </c>
      <c r="D344">
        <v>50</v>
      </c>
      <c r="F344" s="9">
        <f t="shared" si="6"/>
        <v>50</v>
      </c>
      <c r="G344" s="9">
        <f t="shared" si="7"/>
        <v>0</v>
      </c>
      <c r="H344" s="8" t="s">
        <v>21</v>
      </c>
    </row>
    <row r="345" spans="1:8" ht="15.75" customHeight="1">
      <c r="A345" s="30">
        <v>45883</v>
      </c>
      <c r="B345" t="s">
        <v>26</v>
      </c>
      <c r="C345">
        <v>1</v>
      </c>
      <c r="D345">
        <v>110</v>
      </c>
      <c r="E345" s="4">
        <f>10/110*100</f>
        <v>9.0909090909090899</v>
      </c>
      <c r="F345" s="9">
        <f t="shared" si="6"/>
        <v>100</v>
      </c>
      <c r="G345" s="9">
        <f t="shared" si="7"/>
        <v>10</v>
      </c>
      <c r="H345" s="8" t="s">
        <v>9</v>
      </c>
    </row>
    <row r="346" spans="1:8" ht="15.75" customHeight="1">
      <c r="A346" s="30">
        <v>45883</v>
      </c>
      <c r="B346" t="s">
        <v>232</v>
      </c>
      <c r="C346">
        <v>1</v>
      </c>
      <c r="D346">
        <v>30</v>
      </c>
      <c r="F346" s="9">
        <f t="shared" si="6"/>
        <v>30</v>
      </c>
      <c r="G346" s="9">
        <f t="shared" si="7"/>
        <v>0</v>
      </c>
      <c r="H346" s="8" t="s">
        <v>9</v>
      </c>
    </row>
    <row r="347" spans="1:8" ht="15.75" customHeight="1">
      <c r="A347" s="30">
        <v>45883</v>
      </c>
      <c r="B347" t="s">
        <v>233</v>
      </c>
      <c r="C347">
        <v>1</v>
      </c>
      <c r="D347">
        <v>30</v>
      </c>
      <c r="E347" s="4">
        <f t="shared" ref="E347:E348" si="8">5/30*100</f>
        <v>16.6666666666667</v>
      </c>
      <c r="F347" s="9">
        <f t="shared" si="6"/>
        <v>25</v>
      </c>
      <c r="G347" s="9">
        <f t="shared" si="7"/>
        <v>5</v>
      </c>
      <c r="H347" s="8" t="s">
        <v>9</v>
      </c>
    </row>
    <row r="348" spans="1:8" ht="15.75" customHeight="1">
      <c r="A348" s="30">
        <v>45883</v>
      </c>
      <c r="B348" t="s">
        <v>234</v>
      </c>
      <c r="C348">
        <v>1</v>
      </c>
      <c r="D348">
        <v>30</v>
      </c>
      <c r="E348" s="4">
        <f t="shared" si="8"/>
        <v>16.6666666666667</v>
      </c>
      <c r="F348" s="9">
        <f t="shared" si="6"/>
        <v>25</v>
      </c>
      <c r="G348" s="9">
        <f t="shared" si="7"/>
        <v>5</v>
      </c>
      <c r="H348" s="8" t="s">
        <v>9</v>
      </c>
    </row>
    <row r="349" spans="1:8" ht="15.75" customHeight="1">
      <c r="A349" s="30">
        <v>45883</v>
      </c>
      <c r="B349" t="s">
        <v>235</v>
      </c>
      <c r="C349">
        <v>1</v>
      </c>
      <c r="D349">
        <v>20</v>
      </c>
      <c r="F349" s="9">
        <f t="shared" si="6"/>
        <v>20</v>
      </c>
      <c r="G349" s="9">
        <f t="shared" si="7"/>
        <v>0</v>
      </c>
      <c r="H349" s="8" t="s">
        <v>9</v>
      </c>
    </row>
    <row r="350" spans="1:8" ht="15.75" customHeight="1">
      <c r="A350" s="30">
        <v>45884</v>
      </c>
      <c r="B350" t="s">
        <v>194</v>
      </c>
      <c r="C350">
        <v>1</v>
      </c>
      <c r="D350">
        <v>25</v>
      </c>
      <c r="F350" s="9">
        <f t="shared" si="6"/>
        <v>25</v>
      </c>
      <c r="G350" s="9">
        <f t="shared" si="7"/>
        <v>0</v>
      </c>
      <c r="H350" s="8" t="s">
        <v>9</v>
      </c>
    </row>
    <row r="351" spans="1:8" ht="15.75" customHeight="1">
      <c r="A351" s="30">
        <v>45884</v>
      </c>
      <c r="B351" t="s">
        <v>148</v>
      </c>
      <c r="C351">
        <v>1</v>
      </c>
      <c r="D351">
        <v>40</v>
      </c>
      <c r="F351" s="9">
        <f t="shared" si="6"/>
        <v>40</v>
      </c>
      <c r="G351" s="9">
        <f t="shared" si="7"/>
        <v>0</v>
      </c>
      <c r="H351" s="8" t="s">
        <v>21</v>
      </c>
    </row>
    <row r="352" spans="1:8" ht="15.75" customHeight="1">
      <c r="A352" s="30">
        <v>45884</v>
      </c>
      <c r="B352" t="s">
        <v>215</v>
      </c>
      <c r="C352">
        <v>1</v>
      </c>
      <c r="D352">
        <v>90</v>
      </c>
      <c r="E352" s="4">
        <f>25/90*100</f>
        <v>27.7777777777778</v>
      </c>
      <c r="F352" s="9">
        <f t="shared" si="6"/>
        <v>65</v>
      </c>
      <c r="G352" s="9">
        <f t="shared" si="7"/>
        <v>25</v>
      </c>
      <c r="H352" s="8" t="s">
        <v>9</v>
      </c>
    </row>
    <row r="353" spans="1:26" ht="15.75" customHeight="1">
      <c r="A353" s="30">
        <v>45884</v>
      </c>
      <c r="B353" t="s">
        <v>26</v>
      </c>
      <c r="C353">
        <v>1</v>
      </c>
      <c r="D353">
        <v>110</v>
      </c>
      <c r="E353" s="4">
        <f>20/110*100</f>
        <v>18.181818181818201</v>
      </c>
      <c r="F353" s="9">
        <f t="shared" si="6"/>
        <v>90</v>
      </c>
      <c r="G353" s="9">
        <f t="shared" si="7"/>
        <v>20</v>
      </c>
      <c r="H353" s="8" t="s">
        <v>9</v>
      </c>
    </row>
    <row r="354" spans="1:26" ht="15.75" customHeight="1">
      <c r="A354" s="30">
        <v>45884</v>
      </c>
      <c r="B354" t="s">
        <v>148</v>
      </c>
      <c r="C354">
        <v>2</v>
      </c>
      <c r="D354">
        <v>40</v>
      </c>
      <c r="F354" s="9">
        <f t="shared" si="6"/>
        <v>80</v>
      </c>
      <c r="G354" s="9">
        <f t="shared" si="7"/>
        <v>0</v>
      </c>
      <c r="H354" s="8" t="s">
        <v>9</v>
      </c>
    </row>
    <row r="355" spans="1:26" ht="15.75" customHeight="1">
      <c r="A355" s="30">
        <v>45884</v>
      </c>
      <c r="B355" t="s">
        <v>236</v>
      </c>
      <c r="C355">
        <v>1</v>
      </c>
      <c r="D355">
        <v>80</v>
      </c>
      <c r="F355" s="9">
        <f t="shared" si="6"/>
        <v>80</v>
      </c>
      <c r="G355" s="9">
        <f t="shared" si="7"/>
        <v>0</v>
      </c>
      <c r="H355" s="8" t="s">
        <v>9</v>
      </c>
    </row>
    <row r="356" spans="1:26" ht="15.75" customHeight="1">
      <c r="A356" s="30">
        <v>45884</v>
      </c>
      <c r="B356" t="s">
        <v>185</v>
      </c>
      <c r="C356">
        <v>2</v>
      </c>
      <c r="D356">
        <v>30</v>
      </c>
      <c r="E356">
        <v>50</v>
      </c>
      <c r="F356" s="9">
        <f t="shared" si="6"/>
        <v>30</v>
      </c>
      <c r="G356" s="9">
        <f t="shared" si="7"/>
        <v>30</v>
      </c>
      <c r="H356" s="8" t="s">
        <v>9</v>
      </c>
    </row>
    <row r="357" spans="1:26" ht="15.75" customHeight="1">
      <c r="A357" s="30">
        <v>45884</v>
      </c>
      <c r="B357" t="s">
        <v>237</v>
      </c>
      <c r="C357">
        <v>2</v>
      </c>
      <c r="D357">
        <v>30</v>
      </c>
      <c r="E357">
        <v>33.333333333333002</v>
      </c>
      <c r="F357" s="9">
        <f t="shared" si="6"/>
        <v>40.000000000000199</v>
      </c>
      <c r="G357" s="9">
        <f t="shared" si="7"/>
        <v>19.999999999999801</v>
      </c>
      <c r="H357" s="8" t="s">
        <v>9</v>
      </c>
    </row>
    <row r="358" spans="1:26" ht="15.75" customHeight="1">
      <c r="A358" s="30">
        <v>45884</v>
      </c>
      <c r="B358" t="s">
        <v>150</v>
      </c>
      <c r="C358">
        <v>1</v>
      </c>
      <c r="D358">
        <v>60</v>
      </c>
      <c r="F358" s="9">
        <f t="shared" si="6"/>
        <v>60</v>
      </c>
      <c r="G358" s="9">
        <f t="shared" si="7"/>
        <v>0</v>
      </c>
      <c r="H358" s="8" t="s">
        <v>21</v>
      </c>
    </row>
    <row r="359" spans="1:26" ht="15.75" customHeight="1">
      <c r="A359" s="30">
        <v>45884</v>
      </c>
      <c r="B359" t="s">
        <v>185</v>
      </c>
      <c r="C359">
        <v>1</v>
      </c>
      <c r="D359">
        <v>30</v>
      </c>
      <c r="F359" s="9">
        <f t="shared" si="6"/>
        <v>30</v>
      </c>
      <c r="G359" s="9">
        <f t="shared" si="7"/>
        <v>0</v>
      </c>
      <c r="H359" s="8" t="s">
        <v>21</v>
      </c>
    </row>
    <row r="360" spans="1:26" ht="15.75" customHeight="1">
      <c r="A360" s="30">
        <v>45884</v>
      </c>
      <c r="B360" t="s">
        <v>238</v>
      </c>
      <c r="C360">
        <v>1</v>
      </c>
      <c r="D360">
        <v>25</v>
      </c>
      <c r="F360" s="9">
        <f t="shared" si="6"/>
        <v>25</v>
      </c>
      <c r="G360" s="9">
        <f t="shared" si="7"/>
        <v>0</v>
      </c>
      <c r="H360" s="8" t="s">
        <v>21</v>
      </c>
    </row>
    <row r="361" spans="1:26" ht="15.75" customHeight="1">
      <c r="A361" s="30">
        <v>45886</v>
      </c>
      <c r="B361" t="s">
        <v>217</v>
      </c>
      <c r="C361">
        <v>1</v>
      </c>
      <c r="D361">
        <v>80</v>
      </c>
      <c r="E361" s="4">
        <f>10/80*100</f>
        <v>12.5</v>
      </c>
      <c r="F361" s="9">
        <f t="shared" si="6"/>
        <v>70</v>
      </c>
      <c r="G361" s="9">
        <f t="shared" si="7"/>
        <v>10</v>
      </c>
      <c r="H361" s="8" t="s">
        <v>21</v>
      </c>
    </row>
    <row r="362" spans="1:26" ht="15.75" customHeight="1">
      <c r="A362" s="30">
        <v>45886</v>
      </c>
      <c r="B362" t="s">
        <v>239</v>
      </c>
      <c r="C362">
        <v>2</v>
      </c>
      <c r="D362">
        <v>15</v>
      </c>
      <c r="E362" s="4">
        <f>5/15*100</f>
        <v>33.3333333333333</v>
      </c>
      <c r="F362" s="9">
        <f t="shared" si="6"/>
        <v>20</v>
      </c>
      <c r="G362" s="9">
        <f t="shared" si="7"/>
        <v>10</v>
      </c>
      <c r="H362" s="8" t="s">
        <v>21</v>
      </c>
    </row>
    <row r="363" spans="1:26" ht="15.75" customHeight="1">
      <c r="A363" s="30">
        <v>45886</v>
      </c>
      <c r="B363" t="s">
        <v>75</v>
      </c>
      <c r="C363">
        <v>1</v>
      </c>
      <c r="D363">
        <v>25</v>
      </c>
      <c r="F363" s="9">
        <f t="shared" si="6"/>
        <v>25</v>
      </c>
      <c r="G363" s="9">
        <f t="shared" si="7"/>
        <v>0</v>
      </c>
      <c r="H363" s="8" t="s">
        <v>9</v>
      </c>
    </row>
    <row r="364" spans="1:26" ht="15.75" customHeight="1">
      <c r="A364" s="30">
        <v>45886</v>
      </c>
      <c r="B364" t="s">
        <v>148</v>
      </c>
      <c r="C364">
        <v>1</v>
      </c>
      <c r="D364">
        <v>40</v>
      </c>
      <c r="F364" s="9">
        <f t="shared" si="6"/>
        <v>40</v>
      </c>
      <c r="G364" s="9">
        <f t="shared" si="7"/>
        <v>0</v>
      </c>
      <c r="H364" s="8" t="s">
        <v>9</v>
      </c>
    </row>
    <row r="365" spans="1:26" ht="15.75" customHeight="1">
      <c r="A365" s="30">
        <v>45886</v>
      </c>
      <c r="B365" t="s">
        <v>85</v>
      </c>
      <c r="C365">
        <v>1</v>
      </c>
      <c r="D365">
        <v>50</v>
      </c>
      <c r="F365" s="9">
        <f t="shared" si="6"/>
        <v>50</v>
      </c>
      <c r="G365" s="9">
        <f t="shared" si="7"/>
        <v>0</v>
      </c>
      <c r="H365" s="8" t="s">
        <v>21</v>
      </c>
    </row>
    <row r="366" spans="1:26" ht="15.75" customHeight="1">
      <c r="A366" s="34">
        <v>45886</v>
      </c>
      <c r="B366" s="21" t="s">
        <v>240</v>
      </c>
      <c r="C366" s="21">
        <v>1</v>
      </c>
      <c r="D366" s="21">
        <v>50</v>
      </c>
      <c r="E366" s="22"/>
      <c r="F366" s="23">
        <f t="shared" si="6"/>
        <v>50</v>
      </c>
      <c r="G366" s="23">
        <f t="shared" si="7"/>
        <v>0</v>
      </c>
      <c r="H366" s="24" t="s">
        <v>9</v>
      </c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.75" customHeight="1">
      <c r="A367" s="30">
        <v>45886</v>
      </c>
      <c r="B367" t="s">
        <v>241</v>
      </c>
      <c r="C367">
        <v>2</v>
      </c>
      <c r="D367">
        <v>15</v>
      </c>
      <c r="E367">
        <v>33.333333333399999</v>
      </c>
      <c r="F367" s="9">
        <f t="shared" si="6"/>
        <v>19.999999999980002</v>
      </c>
      <c r="G367" s="9">
        <f t="shared" si="7"/>
        <v>10.00000000002</v>
      </c>
      <c r="H367" s="8" t="s">
        <v>9</v>
      </c>
    </row>
    <row r="368" spans="1:26" ht="15.75" customHeight="1">
      <c r="A368" s="30">
        <v>45887</v>
      </c>
      <c r="B368" t="s">
        <v>242</v>
      </c>
      <c r="C368">
        <v>1</v>
      </c>
      <c r="D368">
        <v>25</v>
      </c>
      <c r="E368">
        <v>20</v>
      </c>
      <c r="F368" s="9">
        <f t="shared" si="6"/>
        <v>20</v>
      </c>
      <c r="G368" s="9">
        <f t="shared" si="7"/>
        <v>5</v>
      </c>
      <c r="H368" s="8" t="s">
        <v>9</v>
      </c>
    </row>
    <row r="369" spans="1:10" ht="15.75" customHeight="1">
      <c r="A369" s="30">
        <v>45887</v>
      </c>
      <c r="B369" t="s">
        <v>243</v>
      </c>
      <c r="C369">
        <v>1</v>
      </c>
      <c r="D369">
        <v>80</v>
      </c>
      <c r="F369" s="9">
        <f t="shared" si="6"/>
        <v>80</v>
      </c>
      <c r="G369" s="9">
        <f t="shared" si="7"/>
        <v>0</v>
      </c>
      <c r="H369" s="8" t="s">
        <v>9</v>
      </c>
    </row>
    <row r="370" spans="1:10" ht="15.75" customHeight="1">
      <c r="A370" s="30">
        <v>45887</v>
      </c>
      <c r="B370" t="s">
        <v>182</v>
      </c>
      <c r="C370">
        <v>1</v>
      </c>
      <c r="D370">
        <v>20</v>
      </c>
      <c r="F370" s="9">
        <f t="shared" si="6"/>
        <v>20</v>
      </c>
      <c r="G370" s="9">
        <f t="shared" si="7"/>
        <v>0</v>
      </c>
      <c r="H370" s="8" t="s">
        <v>9</v>
      </c>
    </row>
    <row r="371" spans="1:10" ht="15.75" customHeight="1">
      <c r="A371" s="30">
        <v>45887</v>
      </c>
      <c r="B371" t="s">
        <v>216</v>
      </c>
      <c r="C371">
        <v>4</v>
      </c>
      <c r="D371">
        <v>15</v>
      </c>
      <c r="E371">
        <v>33.333333333299997</v>
      </c>
      <c r="F371" s="9">
        <f t="shared" si="6"/>
        <v>40.000000000020002</v>
      </c>
      <c r="G371" s="9">
        <f t="shared" si="7"/>
        <v>19.999999999980002</v>
      </c>
      <c r="H371" s="8" t="s">
        <v>9</v>
      </c>
    </row>
    <row r="372" spans="1:10" ht="15.75" customHeight="1">
      <c r="A372" s="30">
        <v>45887</v>
      </c>
      <c r="B372" t="s">
        <v>244</v>
      </c>
      <c r="C372">
        <v>2</v>
      </c>
      <c r="D372">
        <v>20</v>
      </c>
      <c r="F372" s="9">
        <f t="shared" si="6"/>
        <v>40</v>
      </c>
      <c r="G372" s="9">
        <f t="shared" si="7"/>
        <v>0</v>
      </c>
      <c r="H372" s="8" t="s">
        <v>9</v>
      </c>
    </row>
    <row r="373" spans="1:10" ht="15.75" customHeight="1">
      <c r="A373" s="30">
        <v>45887</v>
      </c>
      <c r="B373" t="s">
        <v>245</v>
      </c>
      <c r="C373">
        <v>2</v>
      </c>
      <c r="D373">
        <v>30</v>
      </c>
      <c r="F373" s="9">
        <f t="shared" si="6"/>
        <v>60</v>
      </c>
      <c r="G373" s="9">
        <f t="shared" si="7"/>
        <v>0</v>
      </c>
      <c r="H373" s="8" t="s">
        <v>9</v>
      </c>
      <c r="J373" t="s">
        <v>213</v>
      </c>
    </row>
    <row r="374" spans="1:10" ht="15.75" customHeight="1">
      <c r="A374" s="30">
        <v>45887</v>
      </c>
      <c r="B374" t="s">
        <v>148</v>
      </c>
      <c r="C374">
        <v>1</v>
      </c>
      <c r="D374">
        <v>40</v>
      </c>
      <c r="F374" s="9">
        <f t="shared" si="6"/>
        <v>40</v>
      </c>
      <c r="G374" s="9">
        <f t="shared" si="7"/>
        <v>0</v>
      </c>
      <c r="H374" s="8" t="s">
        <v>9</v>
      </c>
    </row>
    <row r="375" spans="1:10" ht="15.75" customHeight="1">
      <c r="A375" s="30">
        <v>45887</v>
      </c>
      <c r="B375" t="s">
        <v>46</v>
      </c>
      <c r="C375">
        <v>1</v>
      </c>
      <c r="D375">
        <v>90</v>
      </c>
      <c r="F375" s="9">
        <f t="shared" si="6"/>
        <v>90</v>
      </c>
      <c r="G375" s="9">
        <f t="shared" si="7"/>
        <v>0</v>
      </c>
      <c r="H375" s="8" t="s">
        <v>21</v>
      </c>
    </row>
    <row r="376" spans="1:10" ht="15.75" customHeight="1">
      <c r="A376" s="30">
        <v>45887</v>
      </c>
      <c r="B376" t="s">
        <v>217</v>
      </c>
      <c r="C376">
        <v>1</v>
      </c>
      <c r="D376">
        <v>80</v>
      </c>
      <c r="F376" s="9">
        <f t="shared" si="6"/>
        <v>80</v>
      </c>
      <c r="G376" s="9">
        <f t="shared" si="7"/>
        <v>0</v>
      </c>
      <c r="H376" s="8" t="s">
        <v>21</v>
      </c>
    </row>
    <row r="377" spans="1:10" ht="15.75" customHeight="1">
      <c r="A377" s="30">
        <v>45887</v>
      </c>
      <c r="B377" t="s">
        <v>75</v>
      </c>
      <c r="C377">
        <v>1</v>
      </c>
      <c r="D377">
        <v>25</v>
      </c>
      <c r="F377" s="9">
        <f t="shared" si="6"/>
        <v>25</v>
      </c>
      <c r="G377" s="9">
        <f t="shared" si="7"/>
        <v>0</v>
      </c>
      <c r="H377" s="8" t="s">
        <v>21</v>
      </c>
      <c r="J377" t="s">
        <v>246</v>
      </c>
    </row>
    <row r="378" spans="1:10" ht="15.75" customHeight="1">
      <c r="A378" s="30">
        <v>45887</v>
      </c>
      <c r="B378" t="s">
        <v>247</v>
      </c>
      <c r="C378">
        <v>1</v>
      </c>
      <c r="D378">
        <v>25</v>
      </c>
      <c r="F378" s="9">
        <f t="shared" si="6"/>
        <v>25</v>
      </c>
      <c r="G378" s="9">
        <f t="shared" si="7"/>
        <v>0</v>
      </c>
      <c r="H378" s="8" t="s">
        <v>9</v>
      </c>
    </row>
    <row r="379" spans="1:10" ht="15.75" customHeight="1">
      <c r="A379" s="30">
        <v>45887</v>
      </c>
      <c r="B379" t="s">
        <v>248</v>
      </c>
      <c r="C379">
        <v>1</v>
      </c>
      <c r="D379">
        <v>20</v>
      </c>
      <c r="F379" s="9">
        <f t="shared" si="6"/>
        <v>20</v>
      </c>
      <c r="G379" s="9">
        <f t="shared" si="7"/>
        <v>0</v>
      </c>
      <c r="H379" s="8" t="s">
        <v>9</v>
      </c>
    </row>
    <row r="380" spans="1:10" ht="15.75" customHeight="1">
      <c r="A380" s="30">
        <v>45887</v>
      </c>
      <c r="B380" t="s">
        <v>249</v>
      </c>
      <c r="C380">
        <v>1</v>
      </c>
      <c r="D380">
        <v>30</v>
      </c>
      <c r="E380" s="4">
        <f>5/30*100</f>
        <v>16.6666666666667</v>
      </c>
      <c r="F380" s="9">
        <f t="shared" si="6"/>
        <v>25</v>
      </c>
      <c r="G380" s="9">
        <f t="shared" si="7"/>
        <v>5</v>
      </c>
      <c r="H380" s="8" t="s">
        <v>9</v>
      </c>
    </row>
    <row r="381" spans="1:10" ht="15.75" customHeight="1">
      <c r="A381" s="30">
        <v>45888</v>
      </c>
      <c r="B381" t="s">
        <v>75</v>
      </c>
      <c r="C381">
        <v>1</v>
      </c>
      <c r="D381">
        <v>25</v>
      </c>
      <c r="E381">
        <v>20</v>
      </c>
      <c r="F381" s="9">
        <f t="shared" si="6"/>
        <v>20</v>
      </c>
      <c r="G381" s="9">
        <f t="shared" si="7"/>
        <v>5</v>
      </c>
      <c r="H381" s="8" t="s">
        <v>9</v>
      </c>
    </row>
    <row r="382" spans="1:10" ht="15.75" customHeight="1">
      <c r="A382" s="30">
        <v>45888</v>
      </c>
      <c r="B382" t="s">
        <v>148</v>
      </c>
      <c r="C382">
        <v>1</v>
      </c>
      <c r="D382">
        <v>40</v>
      </c>
      <c r="F382" s="9">
        <f t="shared" si="6"/>
        <v>40</v>
      </c>
      <c r="G382" s="9">
        <f t="shared" si="7"/>
        <v>0</v>
      </c>
      <c r="H382" s="8" t="s">
        <v>9</v>
      </c>
    </row>
    <row r="383" spans="1:10" ht="15.75" customHeight="1">
      <c r="A383" s="30">
        <v>45888</v>
      </c>
      <c r="B383" t="s">
        <v>26</v>
      </c>
      <c r="C383">
        <v>1</v>
      </c>
      <c r="D383">
        <v>110</v>
      </c>
      <c r="E383" s="4">
        <f>20/110*100</f>
        <v>18.181818181818201</v>
      </c>
      <c r="F383" s="9">
        <f t="shared" si="6"/>
        <v>90</v>
      </c>
      <c r="G383" s="9">
        <f t="shared" si="7"/>
        <v>20</v>
      </c>
      <c r="H383" s="8" t="s">
        <v>9</v>
      </c>
    </row>
    <row r="384" spans="1:10" ht="15.75" customHeight="1">
      <c r="A384" s="30">
        <v>45888</v>
      </c>
      <c r="B384" t="s">
        <v>26</v>
      </c>
      <c r="C384">
        <v>1</v>
      </c>
      <c r="D384">
        <v>110</v>
      </c>
      <c r="F384" s="9">
        <f t="shared" si="6"/>
        <v>110</v>
      </c>
      <c r="G384" s="9">
        <f t="shared" si="7"/>
        <v>0</v>
      </c>
      <c r="H384" s="8" t="s">
        <v>9</v>
      </c>
    </row>
    <row r="385" spans="1:8" ht="15.75" customHeight="1">
      <c r="A385" s="30">
        <v>45888</v>
      </c>
      <c r="B385" t="s">
        <v>202</v>
      </c>
      <c r="C385">
        <v>1</v>
      </c>
      <c r="D385">
        <v>80</v>
      </c>
      <c r="F385" s="9">
        <f t="shared" si="6"/>
        <v>80</v>
      </c>
      <c r="G385" s="9">
        <f t="shared" si="7"/>
        <v>0</v>
      </c>
      <c r="H385" s="8" t="s">
        <v>9</v>
      </c>
    </row>
    <row r="386" spans="1:8" ht="15.75" customHeight="1">
      <c r="A386" s="30">
        <v>45888</v>
      </c>
      <c r="B386" t="s">
        <v>250</v>
      </c>
      <c r="C386">
        <v>1</v>
      </c>
      <c r="D386">
        <v>20</v>
      </c>
      <c r="F386" s="9">
        <f t="shared" si="6"/>
        <v>20</v>
      </c>
      <c r="G386" s="9">
        <f t="shared" si="7"/>
        <v>0</v>
      </c>
      <c r="H386" s="8" t="s">
        <v>21</v>
      </c>
    </row>
    <row r="387" spans="1:8" ht="15.75" customHeight="1">
      <c r="A387" s="30">
        <v>45888</v>
      </c>
      <c r="B387" t="s">
        <v>184</v>
      </c>
      <c r="C387">
        <v>1</v>
      </c>
      <c r="D387">
        <v>25</v>
      </c>
      <c r="E387">
        <v>20</v>
      </c>
      <c r="F387" s="9">
        <f t="shared" si="6"/>
        <v>20</v>
      </c>
      <c r="G387" s="9">
        <f t="shared" si="7"/>
        <v>5</v>
      </c>
      <c r="H387" s="8" t="s">
        <v>21</v>
      </c>
    </row>
    <row r="388" spans="1:8" ht="15.75" customHeight="1">
      <c r="A388" s="30">
        <v>45888</v>
      </c>
      <c r="B388" t="s">
        <v>169</v>
      </c>
      <c r="C388">
        <v>2</v>
      </c>
      <c r="D388">
        <v>30</v>
      </c>
      <c r="E388" s="4">
        <f>10/60*100</f>
        <v>16.6666666666667</v>
      </c>
      <c r="F388" s="9">
        <f t="shared" si="6"/>
        <v>50</v>
      </c>
      <c r="G388" s="9">
        <f t="shared" si="7"/>
        <v>10</v>
      </c>
      <c r="H388" s="8" t="s">
        <v>9</v>
      </c>
    </row>
    <row r="389" spans="1:8" ht="15.75" customHeight="1">
      <c r="A389" s="30">
        <v>45888</v>
      </c>
      <c r="B389" t="s">
        <v>251</v>
      </c>
      <c r="C389">
        <v>1</v>
      </c>
      <c r="D389">
        <v>30</v>
      </c>
      <c r="E389" s="4">
        <f>5/30*100</f>
        <v>16.6666666666667</v>
      </c>
      <c r="F389" s="9">
        <f t="shared" si="6"/>
        <v>25</v>
      </c>
      <c r="G389" s="9">
        <f t="shared" si="7"/>
        <v>5</v>
      </c>
      <c r="H389" s="8" t="s">
        <v>9</v>
      </c>
    </row>
    <row r="390" spans="1:8" ht="15.75" customHeight="1">
      <c r="A390" s="30">
        <v>45888</v>
      </c>
      <c r="B390" t="s">
        <v>244</v>
      </c>
      <c r="C390">
        <v>2</v>
      </c>
      <c r="D390">
        <v>20</v>
      </c>
      <c r="F390" s="9">
        <f t="shared" si="6"/>
        <v>40</v>
      </c>
      <c r="G390" s="9">
        <f t="shared" si="7"/>
        <v>0</v>
      </c>
      <c r="H390" s="8" t="s">
        <v>9</v>
      </c>
    </row>
    <row r="391" spans="1:8" ht="15.75" customHeight="1">
      <c r="A391" s="30">
        <v>45888</v>
      </c>
      <c r="B391" t="s">
        <v>235</v>
      </c>
      <c r="C391">
        <v>1</v>
      </c>
      <c r="D391">
        <v>15</v>
      </c>
      <c r="E391">
        <v>33.333333332999999</v>
      </c>
      <c r="F391" s="9">
        <f t="shared" si="6"/>
        <v>10.000000000049999</v>
      </c>
      <c r="G391" s="9">
        <f t="shared" si="7"/>
        <v>4.99999999995</v>
      </c>
      <c r="H391" s="8" t="s">
        <v>9</v>
      </c>
    </row>
    <row r="392" spans="1:8" ht="15.75" customHeight="1">
      <c r="A392" s="30">
        <v>45889</v>
      </c>
      <c r="B392" t="s">
        <v>185</v>
      </c>
      <c r="C392">
        <v>2</v>
      </c>
      <c r="D392">
        <v>30</v>
      </c>
      <c r="E392" s="4">
        <f>10/60*100</f>
        <v>16.6666666666667</v>
      </c>
      <c r="F392" s="9">
        <f t="shared" si="6"/>
        <v>50</v>
      </c>
      <c r="G392" s="9">
        <f t="shared" si="7"/>
        <v>10</v>
      </c>
      <c r="H392" s="8" t="s">
        <v>9</v>
      </c>
    </row>
    <row r="393" spans="1:8" ht="15.75" customHeight="1">
      <c r="A393" s="30">
        <v>45889</v>
      </c>
      <c r="B393" t="s">
        <v>247</v>
      </c>
      <c r="C393">
        <v>2</v>
      </c>
      <c r="D393">
        <v>25</v>
      </c>
      <c r="F393" s="9">
        <f t="shared" si="6"/>
        <v>50</v>
      </c>
      <c r="G393" s="9">
        <f t="shared" si="7"/>
        <v>0</v>
      </c>
      <c r="H393" s="8" t="s">
        <v>9</v>
      </c>
    </row>
    <row r="394" spans="1:8" ht="15.75" customHeight="1">
      <c r="A394" s="30">
        <v>45889</v>
      </c>
      <c r="B394" t="s">
        <v>42</v>
      </c>
      <c r="C394">
        <v>1</v>
      </c>
      <c r="D394">
        <v>90</v>
      </c>
      <c r="E394" s="4">
        <f>10/90*100</f>
        <v>11.1111111111111</v>
      </c>
      <c r="F394" s="9">
        <f t="shared" si="6"/>
        <v>80</v>
      </c>
      <c r="G394" s="9">
        <f t="shared" si="7"/>
        <v>10</v>
      </c>
      <c r="H394" s="8" t="s">
        <v>21</v>
      </c>
    </row>
    <row r="395" spans="1:8" ht="15.75" customHeight="1">
      <c r="A395" s="30">
        <v>45889</v>
      </c>
      <c r="B395" t="s">
        <v>42</v>
      </c>
      <c r="C395">
        <v>1</v>
      </c>
      <c r="D395">
        <v>90</v>
      </c>
      <c r="E395" s="4">
        <f>20/90*100</f>
        <v>22.2222222222222</v>
      </c>
      <c r="F395" s="9">
        <f t="shared" si="6"/>
        <v>70</v>
      </c>
      <c r="G395" s="9">
        <f t="shared" si="7"/>
        <v>20</v>
      </c>
      <c r="H395" s="8" t="s">
        <v>21</v>
      </c>
    </row>
    <row r="396" spans="1:8" ht="15.75" customHeight="1">
      <c r="A396" s="30">
        <v>45889</v>
      </c>
      <c r="B396" t="s">
        <v>252</v>
      </c>
      <c r="C396">
        <v>6</v>
      </c>
      <c r="D396">
        <v>18</v>
      </c>
      <c r="E396" s="4">
        <f>28/108*100</f>
        <v>25.925925925925899</v>
      </c>
      <c r="F396" s="9">
        <f t="shared" si="6"/>
        <v>80</v>
      </c>
      <c r="G396" s="9">
        <f t="shared" si="7"/>
        <v>28</v>
      </c>
      <c r="H396" s="8" t="s">
        <v>21</v>
      </c>
    </row>
    <row r="397" spans="1:8" ht="15.75" customHeight="1">
      <c r="A397" s="30">
        <v>45889</v>
      </c>
      <c r="B397" t="s">
        <v>253</v>
      </c>
      <c r="C397">
        <v>1</v>
      </c>
      <c r="D397">
        <v>50</v>
      </c>
      <c r="E397" s="4">
        <f>20/50*100</f>
        <v>40</v>
      </c>
      <c r="F397" s="9">
        <f t="shared" si="6"/>
        <v>30</v>
      </c>
      <c r="G397" s="9">
        <f t="shared" si="7"/>
        <v>20</v>
      </c>
      <c r="H397" s="8" t="s">
        <v>21</v>
      </c>
    </row>
    <row r="398" spans="1:8" ht="15.75" customHeight="1">
      <c r="A398" s="30">
        <v>45889</v>
      </c>
      <c r="B398" t="s">
        <v>254</v>
      </c>
      <c r="C398">
        <v>1</v>
      </c>
      <c r="D398">
        <v>10</v>
      </c>
      <c r="F398" s="9">
        <f t="shared" si="6"/>
        <v>10</v>
      </c>
      <c r="G398" s="9">
        <f t="shared" si="7"/>
        <v>0</v>
      </c>
      <c r="H398" s="8" t="s">
        <v>21</v>
      </c>
    </row>
    <row r="399" spans="1:8" ht="15.75" customHeight="1">
      <c r="A399" s="30">
        <v>45889</v>
      </c>
      <c r="B399" t="s">
        <v>255</v>
      </c>
      <c r="C399">
        <v>1</v>
      </c>
      <c r="D399">
        <v>10</v>
      </c>
      <c r="F399" s="9">
        <f t="shared" si="6"/>
        <v>10</v>
      </c>
      <c r="G399" s="9">
        <f t="shared" si="7"/>
        <v>0</v>
      </c>
      <c r="H399" s="8" t="s">
        <v>9</v>
      </c>
    </row>
    <row r="400" spans="1:8" ht="15.75" customHeight="1">
      <c r="A400" s="30">
        <v>45889</v>
      </c>
      <c r="B400" t="s">
        <v>175</v>
      </c>
      <c r="C400">
        <v>1</v>
      </c>
      <c r="D400">
        <v>80</v>
      </c>
      <c r="E400" s="4">
        <f>10/80*100</f>
        <v>12.5</v>
      </c>
      <c r="F400" s="9">
        <f t="shared" si="6"/>
        <v>70</v>
      </c>
      <c r="G400" s="9">
        <f t="shared" si="7"/>
        <v>10</v>
      </c>
      <c r="H400" s="8" t="s">
        <v>21</v>
      </c>
    </row>
    <row r="401" spans="1:26" ht="15.75" customHeight="1">
      <c r="A401" s="30">
        <v>45889</v>
      </c>
      <c r="B401" t="s">
        <v>22</v>
      </c>
      <c r="C401">
        <v>1</v>
      </c>
      <c r="D401">
        <v>55</v>
      </c>
      <c r="F401" s="9">
        <f t="shared" si="6"/>
        <v>55</v>
      </c>
      <c r="G401" s="9">
        <f t="shared" si="7"/>
        <v>0</v>
      </c>
      <c r="H401" s="8" t="s">
        <v>21</v>
      </c>
    </row>
    <row r="402" spans="1:26" ht="15.75" customHeight="1">
      <c r="A402" s="30">
        <v>45889</v>
      </c>
      <c r="B402" t="s">
        <v>151</v>
      </c>
      <c r="C402">
        <v>2</v>
      </c>
      <c r="D402">
        <v>10</v>
      </c>
      <c r="E402">
        <v>50</v>
      </c>
      <c r="F402" s="9">
        <f t="shared" si="6"/>
        <v>10</v>
      </c>
      <c r="G402" s="9">
        <f t="shared" si="7"/>
        <v>10</v>
      </c>
      <c r="H402" s="8" t="s">
        <v>21</v>
      </c>
    </row>
    <row r="403" spans="1:26" ht="15.75" customHeight="1">
      <c r="A403" s="30">
        <v>45889</v>
      </c>
      <c r="B403" t="s">
        <v>256</v>
      </c>
      <c r="C403">
        <v>1</v>
      </c>
      <c r="D403">
        <v>10</v>
      </c>
      <c r="F403" s="9">
        <f t="shared" si="6"/>
        <v>10</v>
      </c>
      <c r="G403" s="9">
        <f t="shared" si="7"/>
        <v>0</v>
      </c>
      <c r="H403" s="8" t="s">
        <v>21</v>
      </c>
    </row>
    <row r="404" spans="1:26" ht="15.75" customHeight="1">
      <c r="A404" s="30">
        <v>45889</v>
      </c>
      <c r="B404" t="s">
        <v>257</v>
      </c>
      <c r="C404">
        <v>1</v>
      </c>
      <c r="D404">
        <v>10</v>
      </c>
      <c r="F404" s="9">
        <f t="shared" si="6"/>
        <v>10</v>
      </c>
      <c r="G404" s="9">
        <f t="shared" si="7"/>
        <v>0</v>
      </c>
      <c r="H404" s="8" t="s">
        <v>21</v>
      </c>
    </row>
    <row r="405" spans="1:26" ht="15.75" customHeight="1">
      <c r="A405" s="30">
        <v>45890</v>
      </c>
      <c r="B405" t="s">
        <v>75</v>
      </c>
      <c r="C405">
        <v>1</v>
      </c>
      <c r="D405">
        <v>25</v>
      </c>
      <c r="E405">
        <v>20</v>
      </c>
      <c r="F405" s="9">
        <f t="shared" si="6"/>
        <v>20</v>
      </c>
      <c r="G405" s="9">
        <f t="shared" si="7"/>
        <v>5</v>
      </c>
      <c r="H405" s="8" t="s">
        <v>9</v>
      </c>
    </row>
    <row r="406" spans="1:26" ht="15.75" customHeight="1">
      <c r="A406" s="30">
        <v>45890</v>
      </c>
      <c r="B406" t="s">
        <v>157</v>
      </c>
      <c r="C406">
        <v>1</v>
      </c>
      <c r="D406">
        <v>40</v>
      </c>
      <c r="E406">
        <v>25</v>
      </c>
      <c r="F406" s="9">
        <f t="shared" si="6"/>
        <v>30</v>
      </c>
      <c r="G406" s="9">
        <f t="shared" si="7"/>
        <v>10</v>
      </c>
      <c r="H406" s="8" t="s">
        <v>9</v>
      </c>
    </row>
    <row r="407" spans="1:26" ht="15.75" customHeight="1">
      <c r="A407" s="30">
        <v>45890</v>
      </c>
      <c r="B407" t="s">
        <v>184</v>
      </c>
      <c r="C407">
        <v>1</v>
      </c>
      <c r="D407">
        <v>30</v>
      </c>
      <c r="E407">
        <v>33.333333332999999</v>
      </c>
      <c r="F407" s="9">
        <f t="shared" si="6"/>
        <v>20.000000000099998</v>
      </c>
      <c r="G407" s="9">
        <f t="shared" si="7"/>
        <v>9.9999999999</v>
      </c>
      <c r="H407" s="8" t="s">
        <v>9</v>
      </c>
    </row>
    <row r="408" spans="1:26" ht="15.75" customHeight="1">
      <c r="A408" s="30">
        <v>45890</v>
      </c>
      <c r="B408" t="s">
        <v>22</v>
      </c>
      <c r="C408">
        <v>1</v>
      </c>
      <c r="D408">
        <v>55</v>
      </c>
      <c r="E408" s="4">
        <f>15/55*100</f>
        <v>27.272727272727298</v>
      </c>
      <c r="F408" s="9">
        <f t="shared" si="6"/>
        <v>40</v>
      </c>
      <c r="G408" s="9">
        <f t="shared" si="7"/>
        <v>15</v>
      </c>
      <c r="H408" s="8" t="s">
        <v>21</v>
      </c>
    </row>
    <row r="409" spans="1:26" ht="15.75" customHeight="1">
      <c r="A409" s="30">
        <v>45890</v>
      </c>
      <c r="B409" t="s">
        <v>85</v>
      </c>
      <c r="C409">
        <v>1</v>
      </c>
      <c r="D409">
        <v>50</v>
      </c>
      <c r="F409" s="9">
        <f t="shared" si="6"/>
        <v>50</v>
      </c>
      <c r="G409" s="9">
        <f t="shared" si="7"/>
        <v>0</v>
      </c>
      <c r="H409" s="8" t="s">
        <v>9</v>
      </c>
    </row>
    <row r="410" spans="1:26" ht="15.75" customHeight="1">
      <c r="A410" s="30">
        <v>45890</v>
      </c>
      <c r="B410" t="s">
        <v>75</v>
      </c>
      <c r="C410">
        <v>1</v>
      </c>
      <c r="D410">
        <v>25</v>
      </c>
      <c r="E410">
        <v>20</v>
      </c>
      <c r="F410" s="9">
        <f t="shared" si="6"/>
        <v>20</v>
      </c>
      <c r="G410" s="9">
        <f t="shared" si="7"/>
        <v>5</v>
      </c>
      <c r="H410" s="8" t="s">
        <v>9</v>
      </c>
    </row>
    <row r="411" spans="1:26" ht="15.75" customHeight="1">
      <c r="A411" s="30">
        <v>45890</v>
      </c>
      <c r="B411" t="s">
        <v>258</v>
      </c>
      <c r="C411">
        <v>1</v>
      </c>
      <c r="D411">
        <v>20</v>
      </c>
      <c r="F411" s="9">
        <f t="shared" si="6"/>
        <v>20</v>
      </c>
      <c r="G411" s="9">
        <f t="shared" si="7"/>
        <v>0</v>
      </c>
      <c r="H411" s="8" t="s">
        <v>21</v>
      </c>
    </row>
    <row r="412" spans="1:26" ht="15.75" customHeight="1">
      <c r="A412" s="30">
        <v>45890</v>
      </c>
      <c r="B412" t="s">
        <v>185</v>
      </c>
      <c r="C412">
        <v>1</v>
      </c>
      <c r="D412">
        <v>30</v>
      </c>
      <c r="F412" s="9">
        <f t="shared" si="6"/>
        <v>30</v>
      </c>
      <c r="G412" s="9">
        <f t="shared" si="7"/>
        <v>0</v>
      </c>
      <c r="H412" s="8" t="s">
        <v>21</v>
      </c>
    </row>
    <row r="413" spans="1:26" ht="15.75" customHeight="1">
      <c r="A413" s="31">
        <v>45890</v>
      </c>
      <c r="B413" s="6" t="s">
        <v>259</v>
      </c>
      <c r="C413" s="6">
        <v>1</v>
      </c>
      <c r="D413" s="6">
        <v>50</v>
      </c>
      <c r="E413" s="7"/>
      <c r="F413" s="11">
        <f t="shared" si="6"/>
        <v>50</v>
      </c>
      <c r="G413" s="11">
        <f t="shared" si="7"/>
        <v>0</v>
      </c>
      <c r="H413" s="10" t="s">
        <v>21</v>
      </c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30">
        <v>45890</v>
      </c>
      <c r="B414" t="s">
        <v>175</v>
      </c>
      <c r="C414">
        <v>1</v>
      </c>
      <c r="D414">
        <v>80</v>
      </c>
      <c r="E414" s="4">
        <f>10/80*100</f>
        <v>12.5</v>
      </c>
      <c r="F414" s="9">
        <f t="shared" si="6"/>
        <v>70</v>
      </c>
      <c r="G414" s="9">
        <f t="shared" si="7"/>
        <v>10</v>
      </c>
      <c r="H414" s="8" t="s">
        <v>21</v>
      </c>
    </row>
    <row r="415" spans="1:26" ht="15.75" customHeight="1">
      <c r="A415" s="30">
        <v>45890</v>
      </c>
      <c r="B415" t="s">
        <v>22</v>
      </c>
      <c r="C415">
        <v>1</v>
      </c>
      <c r="D415">
        <v>55</v>
      </c>
      <c r="E415" s="4">
        <f>10/55*100</f>
        <v>18.181818181818201</v>
      </c>
      <c r="F415" s="9">
        <f t="shared" si="6"/>
        <v>45</v>
      </c>
      <c r="G415" s="9">
        <f t="shared" si="7"/>
        <v>10</v>
      </c>
      <c r="H415" s="8" t="s">
        <v>21</v>
      </c>
    </row>
    <row r="416" spans="1:26" ht="15.75" customHeight="1">
      <c r="A416" s="30">
        <v>45890</v>
      </c>
      <c r="B416" t="s">
        <v>260</v>
      </c>
      <c r="C416">
        <v>2</v>
      </c>
      <c r="D416">
        <v>18</v>
      </c>
      <c r="E416" s="4">
        <f>6/36*100</f>
        <v>16.6666666666667</v>
      </c>
      <c r="F416" s="9">
        <f t="shared" si="6"/>
        <v>30</v>
      </c>
      <c r="G416" s="9">
        <f t="shared" si="7"/>
        <v>6</v>
      </c>
      <c r="H416" s="8" t="s">
        <v>21</v>
      </c>
    </row>
    <row r="417" spans="1:26" ht="15.75" customHeight="1">
      <c r="A417" s="30">
        <v>45890</v>
      </c>
      <c r="B417" t="s">
        <v>175</v>
      </c>
      <c r="C417">
        <v>1</v>
      </c>
      <c r="D417">
        <v>80</v>
      </c>
      <c r="F417" s="9">
        <f t="shared" si="6"/>
        <v>80</v>
      </c>
      <c r="G417" s="9">
        <f t="shared" si="7"/>
        <v>0</v>
      </c>
      <c r="H417" s="8" t="s">
        <v>9</v>
      </c>
    </row>
    <row r="418" spans="1:26" ht="15.75" customHeight="1">
      <c r="A418" s="30">
        <v>45890</v>
      </c>
      <c r="B418" t="s">
        <v>235</v>
      </c>
      <c r="C418">
        <v>1</v>
      </c>
      <c r="D418">
        <v>20</v>
      </c>
      <c r="E418">
        <v>25</v>
      </c>
      <c r="F418" s="9">
        <f t="shared" si="6"/>
        <v>15</v>
      </c>
      <c r="G418" s="9">
        <f t="shared" si="7"/>
        <v>5</v>
      </c>
      <c r="H418" s="8" t="s">
        <v>9</v>
      </c>
    </row>
    <row r="419" spans="1:26" ht="15.75" customHeight="1">
      <c r="A419" s="30">
        <v>45890</v>
      </c>
      <c r="B419" t="s">
        <v>261</v>
      </c>
      <c r="C419">
        <v>1</v>
      </c>
      <c r="D419">
        <v>15</v>
      </c>
      <c r="E419">
        <v>33.333333333330003</v>
      </c>
      <c r="F419" s="9">
        <f t="shared" si="6"/>
        <v>10.000000000000499</v>
      </c>
      <c r="G419" s="9">
        <f t="shared" si="7"/>
        <v>4.9999999999995</v>
      </c>
      <c r="H419" s="8" t="s">
        <v>9</v>
      </c>
    </row>
    <row r="420" spans="1:26" ht="15.75" customHeight="1">
      <c r="A420" s="30">
        <v>45890</v>
      </c>
      <c r="B420" t="s">
        <v>257</v>
      </c>
      <c r="C420">
        <v>1</v>
      </c>
      <c r="D420">
        <v>10</v>
      </c>
      <c r="E420">
        <v>50</v>
      </c>
      <c r="F420" s="9">
        <f t="shared" si="6"/>
        <v>5</v>
      </c>
      <c r="G420" s="9">
        <f t="shared" si="7"/>
        <v>5</v>
      </c>
      <c r="H420" s="8" t="s">
        <v>9</v>
      </c>
    </row>
    <row r="421" spans="1:26" ht="15.75" customHeight="1">
      <c r="A421" s="30">
        <v>45890</v>
      </c>
      <c r="B421" t="s">
        <v>175</v>
      </c>
      <c r="C421">
        <v>1</v>
      </c>
      <c r="D421">
        <v>80</v>
      </c>
      <c r="F421" s="9">
        <f t="shared" si="6"/>
        <v>80</v>
      </c>
      <c r="G421" s="9">
        <f t="shared" si="7"/>
        <v>0</v>
      </c>
      <c r="H421" s="8" t="s">
        <v>9</v>
      </c>
    </row>
    <row r="422" spans="1:26" ht="15.75" customHeight="1">
      <c r="A422" s="30">
        <v>45890</v>
      </c>
      <c r="B422" t="s">
        <v>151</v>
      </c>
      <c r="C422">
        <v>1</v>
      </c>
      <c r="D422">
        <v>10</v>
      </c>
      <c r="F422" s="9">
        <f t="shared" si="6"/>
        <v>10</v>
      </c>
      <c r="G422" s="9">
        <f t="shared" si="7"/>
        <v>0</v>
      </c>
      <c r="H422" s="8" t="s">
        <v>9</v>
      </c>
    </row>
    <row r="423" spans="1:26" ht="15.75" customHeight="1">
      <c r="A423" s="30">
        <v>45890</v>
      </c>
      <c r="B423" t="s">
        <v>185</v>
      </c>
      <c r="C423">
        <v>2</v>
      </c>
      <c r="D423">
        <v>30</v>
      </c>
      <c r="F423" s="9">
        <f t="shared" si="6"/>
        <v>60</v>
      </c>
      <c r="G423" s="9">
        <f t="shared" si="7"/>
        <v>0</v>
      </c>
      <c r="H423" s="8" t="s">
        <v>21</v>
      </c>
    </row>
    <row r="424" spans="1:26" ht="15.75" customHeight="1">
      <c r="A424" s="30">
        <v>45890</v>
      </c>
      <c r="B424" t="s">
        <v>262</v>
      </c>
      <c r="C424">
        <v>1</v>
      </c>
      <c r="D424">
        <v>25</v>
      </c>
      <c r="F424" s="9">
        <f t="shared" si="6"/>
        <v>25</v>
      </c>
      <c r="G424" s="9">
        <f t="shared" si="7"/>
        <v>0</v>
      </c>
      <c r="H424" s="8" t="s">
        <v>21</v>
      </c>
    </row>
    <row r="425" spans="1:26" ht="15.75" customHeight="1">
      <c r="A425" s="31">
        <v>45890</v>
      </c>
      <c r="B425" s="6" t="s">
        <v>209</v>
      </c>
      <c r="C425" s="6">
        <v>1</v>
      </c>
      <c r="D425" s="6">
        <v>55</v>
      </c>
      <c r="E425" s="7"/>
      <c r="F425" s="11">
        <f t="shared" si="6"/>
        <v>55</v>
      </c>
      <c r="G425" s="11">
        <f t="shared" si="7"/>
        <v>0</v>
      </c>
      <c r="H425" s="10" t="s">
        <v>21</v>
      </c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30">
        <v>45890</v>
      </c>
      <c r="B426" t="s">
        <v>151</v>
      </c>
      <c r="C426">
        <v>4</v>
      </c>
      <c r="D426">
        <v>10</v>
      </c>
      <c r="F426" s="9">
        <f t="shared" si="6"/>
        <v>40</v>
      </c>
      <c r="G426" s="9">
        <f t="shared" si="7"/>
        <v>0</v>
      </c>
      <c r="H426" s="8" t="s">
        <v>21</v>
      </c>
      <c r="J426" t="s">
        <v>263</v>
      </c>
    </row>
    <row r="427" spans="1:26" ht="15.75" customHeight="1">
      <c r="A427" s="30">
        <v>45891</v>
      </c>
      <c r="B427" t="s">
        <v>258</v>
      </c>
      <c r="C427">
        <v>1</v>
      </c>
      <c r="D427">
        <v>20</v>
      </c>
      <c r="F427" s="9">
        <f t="shared" si="6"/>
        <v>20</v>
      </c>
      <c r="G427" s="9">
        <f t="shared" si="7"/>
        <v>0</v>
      </c>
      <c r="H427" s="8" t="s">
        <v>21</v>
      </c>
    </row>
    <row r="428" spans="1:26" ht="15.75" customHeight="1">
      <c r="A428" s="30">
        <v>45891</v>
      </c>
      <c r="B428" t="s">
        <v>264</v>
      </c>
      <c r="C428">
        <v>3</v>
      </c>
      <c r="D428">
        <v>50</v>
      </c>
      <c r="E428">
        <v>16.666666666000001</v>
      </c>
      <c r="F428" s="9">
        <f t="shared" si="6"/>
        <v>125.000000001</v>
      </c>
      <c r="G428" s="9">
        <f t="shared" si="7"/>
        <v>24.999999999</v>
      </c>
      <c r="H428" s="8" t="s">
        <v>9</v>
      </c>
    </row>
    <row r="429" spans="1:26" ht="15.75" customHeight="1">
      <c r="A429" s="30">
        <v>45891</v>
      </c>
      <c r="B429" t="s">
        <v>265</v>
      </c>
      <c r="C429">
        <v>1</v>
      </c>
      <c r="D429">
        <v>55</v>
      </c>
      <c r="E429" s="4">
        <f>10/55*100</f>
        <v>18.181818181818201</v>
      </c>
      <c r="F429" s="9">
        <f t="shared" si="6"/>
        <v>45</v>
      </c>
      <c r="G429" s="9">
        <f t="shared" si="7"/>
        <v>10</v>
      </c>
      <c r="H429" s="8" t="s">
        <v>21</v>
      </c>
    </row>
    <row r="430" spans="1:26" ht="15.75" customHeight="1">
      <c r="A430" s="30">
        <v>45891</v>
      </c>
      <c r="B430" t="s">
        <v>266</v>
      </c>
      <c r="C430">
        <v>6</v>
      </c>
      <c r="D430">
        <v>18</v>
      </c>
      <c r="E430" s="4">
        <f>18/108*100</f>
        <v>16.6666666666667</v>
      </c>
      <c r="F430" s="9">
        <f t="shared" si="6"/>
        <v>90</v>
      </c>
      <c r="G430" s="9">
        <f t="shared" si="7"/>
        <v>18</v>
      </c>
      <c r="H430" s="8" t="s">
        <v>21</v>
      </c>
    </row>
    <row r="431" spans="1:26" ht="15.75" customHeight="1">
      <c r="A431" s="30">
        <v>45891</v>
      </c>
      <c r="B431" t="s">
        <v>264</v>
      </c>
      <c r="C431">
        <v>1</v>
      </c>
      <c r="D431">
        <v>50</v>
      </c>
      <c r="E431">
        <v>50</v>
      </c>
      <c r="F431" s="9">
        <f t="shared" si="6"/>
        <v>25</v>
      </c>
      <c r="G431" s="9">
        <f t="shared" si="7"/>
        <v>25</v>
      </c>
      <c r="H431" s="8" t="s">
        <v>21</v>
      </c>
    </row>
    <row r="432" spans="1:26" ht="15.75" customHeight="1">
      <c r="A432" s="30">
        <v>45891</v>
      </c>
      <c r="B432" t="s">
        <v>169</v>
      </c>
      <c r="C432">
        <v>1</v>
      </c>
      <c r="D432">
        <v>30</v>
      </c>
      <c r="F432" s="9">
        <f t="shared" si="6"/>
        <v>30</v>
      </c>
      <c r="G432" s="9">
        <f t="shared" si="7"/>
        <v>0</v>
      </c>
      <c r="H432" s="8" t="s">
        <v>21</v>
      </c>
    </row>
    <row r="433" spans="1:10" ht="15.75" customHeight="1">
      <c r="A433" s="30">
        <v>45891</v>
      </c>
      <c r="B433" t="s">
        <v>151</v>
      </c>
      <c r="C433">
        <v>2</v>
      </c>
      <c r="D433">
        <v>10</v>
      </c>
      <c r="F433" s="9">
        <f t="shared" si="6"/>
        <v>20</v>
      </c>
      <c r="G433" s="9">
        <f t="shared" si="7"/>
        <v>0</v>
      </c>
      <c r="H433" s="8" t="s">
        <v>21</v>
      </c>
    </row>
    <row r="434" spans="1:10" ht="15.75" customHeight="1">
      <c r="A434" s="30">
        <v>45891</v>
      </c>
      <c r="B434" t="s">
        <v>267</v>
      </c>
      <c r="C434">
        <v>1</v>
      </c>
      <c r="D434">
        <v>20</v>
      </c>
      <c r="F434" s="9">
        <f t="shared" si="6"/>
        <v>20</v>
      </c>
      <c r="G434" s="9">
        <f t="shared" si="7"/>
        <v>0</v>
      </c>
      <c r="H434" s="8" t="s">
        <v>21</v>
      </c>
    </row>
    <row r="435" spans="1:10" ht="15.75" customHeight="1">
      <c r="A435" s="30">
        <v>45891</v>
      </c>
      <c r="B435" t="s">
        <v>28</v>
      </c>
      <c r="C435">
        <v>1</v>
      </c>
      <c r="D435">
        <v>20</v>
      </c>
      <c r="F435" s="9">
        <f t="shared" si="6"/>
        <v>20</v>
      </c>
      <c r="G435" s="9">
        <f t="shared" si="7"/>
        <v>0</v>
      </c>
      <c r="H435" s="8" t="s">
        <v>21</v>
      </c>
    </row>
    <row r="436" spans="1:10" ht="15.75" customHeight="1">
      <c r="A436" s="30">
        <v>45891</v>
      </c>
      <c r="B436" t="s">
        <v>148</v>
      </c>
      <c r="C436">
        <v>1</v>
      </c>
      <c r="D436">
        <v>40</v>
      </c>
      <c r="F436" s="9">
        <f t="shared" si="6"/>
        <v>40</v>
      </c>
      <c r="G436" s="9">
        <f t="shared" si="7"/>
        <v>0</v>
      </c>
      <c r="H436" s="8" t="s">
        <v>21</v>
      </c>
    </row>
    <row r="437" spans="1:10" ht="15.75" customHeight="1">
      <c r="A437" s="30">
        <v>45892</v>
      </c>
      <c r="B437" t="s">
        <v>26</v>
      </c>
      <c r="C437">
        <v>1</v>
      </c>
      <c r="D437">
        <v>110</v>
      </c>
      <c r="E437" s="4">
        <f>10/110*100</f>
        <v>9.0909090909090899</v>
      </c>
      <c r="F437" s="9">
        <f t="shared" si="6"/>
        <v>100</v>
      </c>
      <c r="G437" s="9">
        <f t="shared" si="7"/>
        <v>10</v>
      </c>
      <c r="H437" s="8" t="s">
        <v>9</v>
      </c>
    </row>
    <row r="438" spans="1:10" ht="15.75" customHeight="1">
      <c r="A438" s="30">
        <v>45892</v>
      </c>
      <c r="B438" t="s">
        <v>268</v>
      </c>
      <c r="C438">
        <v>1</v>
      </c>
      <c r="D438">
        <v>25</v>
      </c>
      <c r="E438">
        <v>20</v>
      </c>
      <c r="F438" s="9">
        <f t="shared" si="6"/>
        <v>20</v>
      </c>
      <c r="G438" s="9">
        <f t="shared" si="7"/>
        <v>5</v>
      </c>
      <c r="H438" s="8" t="s">
        <v>9</v>
      </c>
    </row>
    <row r="439" spans="1:10" ht="15.75" customHeight="1">
      <c r="A439" s="30">
        <v>45892</v>
      </c>
      <c r="B439" t="s">
        <v>269</v>
      </c>
      <c r="C439">
        <v>1</v>
      </c>
      <c r="D439">
        <v>25</v>
      </c>
      <c r="E439">
        <v>20</v>
      </c>
      <c r="F439" s="9">
        <f t="shared" si="6"/>
        <v>20</v>
      </c>
      <c r="G439" s="9">
        <f t="shared" si="7"/>
        <v>5</v>
      </c>
      <c r="H439" s="8" t="s">
        <v>9</v>
      </c>
    </row>
    <row r="440" spans="1:10" ht="15.75" customHeight="1">
      <c r="A440" s="30">
        <v>45892</v>
      </c>
      <c r="B440" t="s">
        <v>159</v>
      </c>
      <c r="C440">
        <v>1</v>
      </c>
      <c r="D440">
        <v>20</v>
      </c>
      <c r="F440" s="9">
        <f t="shared" si="6"/>
        <v>20</v>
      </c>
      <c r="G440" s="9">
        <f t="shared" si="7"/>
        <v>0</v>
      </c>
      <c r="H440" s="8" t="s">
        <v>21</v>
      </c>
      <c r="J440" t="s">
        <v>270</v>
      </c>
    </row>
    <row r="441" spans="1:10" ht="15.75" customHeight="1">
      <c r="A441" s="30">
        <v>45892</v>
      </c>
      <c r="B441" t="s">
        <v>271</v>
      </c>
      <c r="C441">
        <v>1</v>
      </c>
      <c r="D441">
        <v>60</v>
      </c>
      <c r="E441" s="4">
        <f>1/6*100</f>
        <v>16.6666666666667</v>
      </c>
      <c r="F441" s="9">
        <f t="shared" si="6"/>
        <v>50</v>
      </c>
      <c r="G441" s="9">
        <f t="shared" si="7"/>
        <v>10</v>
      </c>
      <c r="H441" s="8" t="s">
        <v>9</v>
      </c>
    </row>
    <row r="442" spans="1:10" ht="15.75" customHeight="1">
      <c r="A442" s="30">
        <v>45892</v>
      </c>
      <c r="B442" t="s">
        <v>231</v>
      </c>
      <c r="C442">
        <v>6</v>
      </c>
      <c r="D442">
        <v>18</v>
      </c>
      <c r="E442" s="4">
        <f>28/108*100</f>
        <v>25.925925925925899</v>
      </c>
      <c r="F442" s="9">
        <f t="shared" si="6"/>
        <v>80</v>
      </c>
      <c r="G442" s="9">
        <f t="shared" si="7"/>
        <v>28</v>
      </c>
      <c r="H442" s="8" t="s">
        <v>9</v>
      </c>
    </row>
    <row r="443" spans="1:10" ht="15.75" customHeight="1">
      <c r="A443" s="30">
        <v>45893</v>
      </c>
      <c r="B443" t="s">
        <v>148</v>
      </c>
      <c r="C443">
        <v>50</v>
      </c>
      <c r="D443">
        <v>3</v>
      </c>
      <c r="F443" s="9">
        <f t="shared" si="6"/>
        <v>150</v>
      </c>
      <c r="G443" s="9">
        <f t="shared" si="7"/>
        <v>0</v>
      </c>
      <c r="H443" s="8" t="s">
        <v>21</v>
      </c>
    </row>
    <row r="444" spans="1:10" ht="15.75" customHeight="1">
      <c r="A444" s="30">
        <v>45893</v>
      </c>
      <c r="B444" t="s">
        <v>85</v>
      </c>
      <c r="C444">
        <v>60</v>
      </c>
      <c r="D444">
        <v>3</v>
      </c>
      <c r="F444" s="9">
        <f t="shared" si="6"/>
        <v>180</v>
      </c>
      <c r="G444" s="9">
        <f t="shared" si="7"/>
        <v>0</v>
      </c>
      <c r="H444" s="8" t="s">
        <v>21</v>
      </c>
    </row>
    <row r="445" spans="1:10" ht="15.75" customHeight="1">
      <c r="A445" s="30">
        <v>45893</v>
      </c>
      <c r="B445" t="s">
        <v>272</v>
      </c>
      <c r="C445">
        <v>1</v>
      </c>
      <c r="D445">
        <v>30</v>
      </c>
      <c r="F445" s="9">
        <f t="shared" si="6"/>
        <v>30</v>
      </c>
      <c r="G445" s="9">
        <f t="shared" si="7"/>
        <v>0</v>
      </c>
      <c r="H445" s="8" t="s">
        <v>21</v>
      </c>
    </row>
    <row r="446" spans="1:10" ht="15.75" customHeight="1">
      <c r="A446" s="30">
        <v>45893</v>
      </c>
      <c r="B446" t="s">
        <v>232</v>
      </c>
      <c r="C446">
        <v>1</v>
      </c>
      <c r="D446">
        <v>30</v>
      </c>
      <c r="E446" s="4">
        <f>2/30*100</f>
        <v>6.6666666666666696</v>
      </c>
      <c r="F446" s="9">
        <f t="shared" si="6"/>
        <v>28</v>
      </c>
      <c r="G446" s="9">
        <f t="shared" si="7"/>
        <v>2</v>
      </c>
      <c r="H446" s="8" t="s">
        <v>9</v>
      </c>
    </row>
    <row r="447" spans="1:10" ht="15.75" customHeight="1">
      <c r="A447" s="30">
        <v>45893</v>
      </c>
      <c r="B447" t="s">
        <v>273</v>
      </c>
      <c r="C447">
        <v>2</v>
      </c>
      <c r="D447">
        <v>15</v>
      </c>
      <c r="F447" s="9">
        <f t="shared" si="6"/>
        <v>30</v>
      </c>
      <c r="G447" s="9">
        <f t="shared" si="7"/>
        <v>0</v>
      </c>
      <c r="H447" s="8" t="s">
        <v>21</v>
      </c>
    </row>
    <row r="448" spans="1:10" ht="15.75" customHeight="1">
      <c r="A448" s="30">
        <v>45893</v>
      </c>
      <c r="B448" t="s">
        <v>274</v>
      </c>
      <c r="C448">
        <v>1</v>
      </c>
      <c r="D448">
        <v>25</v>
      </c>
      <c r="F448" s="9">
        <f t="shared" si="6"/>
        <v>25</v>
      </c>
      <c r="G448" s="9">
        <f t="shared" si="7"/>
        <v>0</v>
      </c>
      <c r="H448" s="8" t="s">
        <v>21</v>
      </c>
    </row>
    <row r="449" spans="1:10" ht="15.75" customHeight="1">
      <c r="A449" s="30">
        <v>45893</v>
      </c>
      <c r="B449" t="s">
        <v>268</v>
      </c>
      <c r="C449">
        <v>2</v>
      </c>
      <c r="D449">
        <v>25</v>
      </c>
      <c r="F449" s="9">
        <f t="shared" si="6"/>
        <v>50</v>
      </c>
      <c r="G449" s="9">
        <f t="shared" si="7"/>
        <v>0</v>
      </c>
      <c r="H449" s="8" t="s">
        <v>21</v>
      </c>
      <c r="J449" t="s">
        <v>270</v>
      </c>
    </row>
    <row r="450" spans="1:10" ht="15.75" customHeight="1">
      <c r="A450" s="30">
        <v>45893</v>
      </c>
      <c r="B450" t="s">
        <v>275</v>
      </c>
      <c r="C450">
        <v>1</v>
      </c>
      <c r="D450">
        <v>70</v>
      </c>
      <c r="F450" s="9">
        <f t="shared" si="6"/>
        <v>70</v>
      </c>
      <c r="G450" s="9">
        <f t="shared" si="7"/>
        <v>0</v>
      </c>
      <c r="H450" s="8" t="s">
        <v>9</v>
      </c>
    </row>
    <row r="451" spans="1:10" ht="15.75" customHeight="1">
      <c r="A451" s="30">
        <v>45894</v>
      </c>
      <c r="B451" t="s">
        <v>148</v>
      </c>
      <c r="C451">
        <v>1</v>
      </c>
      <c r="D451">
        <v>50</v>
      </c>
      <c r="F451" s="9">
        <f t="shared" si="6"/>
        <v>50</v>
      </c>
      <c r="G451" s="9">
        <f t="shared" si="7"/>
        <v>0</v>
      </c>
      <c r="H451" s="8" t="s">
        <v>9</v>
      </c>
    </row>
    <row r="452" spans="1:10" ht="15.75" customHeight="1">
      <c r="A452" s="30">
        <v>45894</v>
      </c>
      <c r="B452" t="s">
        <v>26</v>
      </c>
      <c r="C452">
        <v>1</v>
      </c>
      <c r="D452">
        <v>110</v>
      </c>
      <c r="E452" s="4">
        <f>10/110*100</f>
        <v>9.0909090909090899</v>
      </c>
      <c r="F452" s="9">
        <f t="shared" si="6"/>
        <v>100</v>
      </c>
      <c r="G452" s="9">
        <f t="shared" si="7"/>
        <v>10</v>
      </c>
      <c r="H452" s="8" t="s">
        <v>9</v>
      </c>
    </row>
    <row r="453" spans="1:10" ht="15.75" customHeight="1">
      <c r="A453" s="30">
        <v>45894</v>
      </c>
      <c r="B453" t="s">
        <v>276</v>
      </c>
      <c r="C453">
        <v>1</v>
      </c>
      <c r="D453">
        <v>60</v>
      </c>
      <c r="F453" s="9">
        <f t="shared" si="6"/>
        <v>60</v>
      </c>
      <c r="G453" s="9">
        <f t="shared" si="7"/>
        <v>0</v>
      </c>
      <c r="H453" s="8" t="s">
        <v>9</v>
      </c>
    </row>
    <row r="454" spans="1:10" ht="15.75" customHeight="1">
      <c r="A454" s="30">
        <v>45894</v>
      </c>
      <c r="B454" t="s">
        <v>277</v>
      </c>
      <c r="C454">
        <v>6</v>
      </c>
      <c r="D454">
        <v>18</v>
      </c>
      <c r="E454" s="4">
        <f>18/108*100</f>
        <v>16.6666666666667</v>
      </c>
      <c r="F454" s="9">
        <f t="shared" si="6"/>
        <v>90</v>
      </c>
      <c r="G454" s="9">
        <f t="shared" si="7"/>
        <v>18</v>
      </c>
      <c r="H454" s="8" t="s">
        <v>9</v>
      </c>
    </row>
    <row r="455" spans="1:10" ht="15.75" customHeight="1">
      <c r="A455" s="30">
        <v>45894</v>
      </c>
      <c r="B455" t="s">
        <v>214</v>
      </c>
      <c r="C455">
        <v>1</v>
      </c>
      <c r="D455">
        <v>50</v>
      </c>
      <c r="E455" s="4">
        <f>20/50*100</f>
        <v>40</v>
      </c>
      <c r="F455" s="9">
        <f t="shared" si="6"/>
        <v>30</v>
      </c>
      <c r="G455" s="9">
        <f t="shared" si="7"/>
        <v>20</v>
      </c>
      <c r="H455" s="8" t="s">
        <v>9</v>
      </c>
    </row>
    <row r="456" spans="1:10" ht="15.75" customHeight="1">
      <c r="A456" s="30">
        <v>45894</v>
      </c>
      <c r="B456" t="s">
        <v>148</v>
      </c>
      <c r="C456">
        <v>1</v>
      </c>
      <c r="D456">
        <v>50</v>
      </c>
      <c r="F456" s="9">
        <f t="shared" si="6"/>
        <v>50</v>
      </c>
      <c r="G456" s="9">
        <f t="shared" si="7"/>
        <v>0</v>
      </c>
      <c r="H456" s="8" t="s">
        <v>21</v>
      </c>
    </row>
    <row r="457" spans="1:10" ht="15.75" customHeight="1">
      <c r="A457" s="30">
        <v>45894</v>
      </c>
      <c r="B457" t="s">
        <v>278</v>
      </c>
      <c r="C457">
        <v>1</v>
      </c>
      <c r="D457">
        <v>10</v>
      </c>
      <c r="F457" s="9">
        <f t="shared" si="6"/>
        <v>10</v>
      </c>
      <c r="G457" s="9">
        <f t="shared" si="7"/>
        <v>0</v>
      </c>
      <c r="H457" s="8" t="s">
        <v>9</v>
      </c>
    </row>
    <row r="458" spans="1:10" ht="15.75" customHeight="1">
      <c r="A458" s="30">
        <v>45895</v>
      </c>
      <c r="B458" t="s">
        <v>279</v>
      </c>
      <c r="C458">
        <v>2</v>
      </c>
      <c r="D458">
        <v>30</v>
      </c>
      <c r="F458" s="9">
        <f t="shared" si="6"/>
        <v>60</v>
      </c>
      <c r="G458" s="9">
        <f t="shared" si="7"/>
        <v>0</v>
      </c>
      <c r="H458" s="8" t="s">
        <v>9</v>
      </c>
    </row>
    <row r="459" spans="1:10" ht="15.75" customHeight="1">
      <c r="A459" s="30">
        <v>45895</v>
      </c>
      <c r="B459" t="s">
        <v>280</v>
      </c>
      <c r="C459">
        <v>1</v>
      </c>
      <c r="D459">
        <v>30</v>
      </c>
      <c r="E459" s="4">
        <f>5/30*100</f>
        <v>16.6666666666667</v>
      </c>
      <c r="F459" s="9">
        <f t="shared" si="6"/>
        <v>25</v>
      </c>
      <c r="G459" s="9">
        <f t="shared" si="7"/>
        <v>5</v>
      </c>
      <c r="H459" s="8" t="s">
        <v>9</v>
      </c>
    </row>
    <row r="460" spans="1:10" ht="15.75" customHeight="1">
      <c r="A460" s="30">
        <v>45895</v>
      </c>
      <c r="B460" t="s">
        <v>281</v>
      </c>
      <c r="C460">
        <v>1</v>
      </c>
      <c r="D460">
        <v>90</v>
      </c>
      <c r="E460" s="4">
        <f>10/90*100</f>
        <v>11.1111111111111</v>
      </c>
      <c r="F460" s="9">
        <f t="shared" si="6"/>
        <v>80</v>
      </c>
      <c r="G460" s="9">
        <f t="shared" si="7"/>
        <v>10</v>
      </c>
      <c r="H460" s="8" t="s">
        <v>9</v>
      </c>
    </row>
    <row r="461" spans="1:10" ht="15.75" customHeight="1">
      <c r="A461" s="30">
        <v>45895</v>
      </c>
      <c r="B461" t="s">
        <v>148</v>
      </c>
      <c r="C461">
        <v>1</v>
      </c>
      <c r="D461">
        <v>50</v>
      </c>
      <c r="F461" s="9">
        <f t="shared" si="6"/>
        <v>50</v>
      </c>
      <c r="G461" s="9">
        <f t="shared" si="7"/>
        <v>0</v>
      </c>
      <c r="H461" s="8" t="s">
        <v>9</v>
      </c>
    </row>
    <row r="462" spans="1:10" ht="15.75" customHeight="1">
      <c r="A462" s="30">
        <v>45895</v>
      </c>
      <c r="B462" t="s">
        <v>42</v>
      </c>
      <c r="C462">
        <v>1</v>
      </c>
      <c r="D462">
        <v>90</v>
      </c>
      <c r="F462" s="9">
        <f t="shared" si="6"/>
        <v>90</v>
      </c>
      <c r="G462" s="9">
        <f t="shared" si="7"/>
        <v>0</v>
      </c>
      <c r="H462" s="8" t="s">
        <v>9</v>
      </c>
    </row>
    <row r="463" spans="1:10" ht="15.75" customHeight="1">
      <c r="A463" s="30">
        <v>45895</v>
      </c>
      <c r="B463" t="s">
        <v>232</v>
      </c>
      <c r="C463">
        <v>1</v>
      </c>
      <c r="D463">
        <v>30</v>
      </c>
      <c r="F463" s="9">
        <f t="shared" si="6"/>
        <v>30</v>
      </c>
      <c r="G463" s="9">
        <f t="shared" si="7"/>
        <v>0</v>
      </c>
      <c r="H463" s="8" t="s">
        <v>9</v>
      </c>
    </row>
    <row r="464" spans="1:10" ht="15.75" customHeight="1">
      <c r="A464" s="30">
        <v>45895</v>
      </c>
      <c r="B464" t="s">
        <v>279</v>
      </c>
      <c r="C464">
        <v>1</v>
      </c>
      <c r="D464">
        <v>30</v>
      </c>
      <c r="F464" s="9">
        <f t="shared" si="6"/>
        <v>30</v>
      </c>
      <c r="G464" s="9">
        <f t="shared" si="7"/>
        <v>0</v>
      </c>
      <c r="H464" s="8" t="s">
        <v>9</v>
      </c>
    </row>
    <row r="465" spans="1:26" ht="15.75" customHeight="1">
      <c r="A465" s="30">
        <v>45896</v>
      </c>
      <c r="B465" t="s">
        <v>228</v>
      </c>
      <c r="C465">
        <v>1</v>
      </c>
      <c r="D465">
        <v>20</v>
      </c>
      <c r="F465" s="9">
        <f t="shared" si="6"/>
        <v>20</v>
      </c>
      <c r="G465" s="9">
        <f t="shared" si="7"/>
        <v>0</v>
      </c>
      <c r="H465" s="8" t="s">
        <v>9</v>
      </c>
    </row>
    <row r="466" spans="1:26" ht="15.75" customHeight="1">
      <c r="A466" s="30">
        <v>45897</v>
      </c>
      <c r="B466" t="s">
        <v>280</v>
      </c>
      <c r="C466">
        <v>2</v>
      </c>
      <c r="D466">
        <v>25</v>
      </c>
      <c r="F466" s="9">
        <f t="shared" si="6"/>
        <v>50</v>
      </c>
      <c r="G466" s="9">
        <f t="shared" si="7"/>
        <v>0</v>
      </c>
      <c r="H466" s="8" t="s">
        <v>21</v>
      </c>
    </row>
    <row r="467" spans="1:26" ht="15.75" customHeight="1">
      <c r="A467" s="30">
        <v>45897</v>
      </c>
      <c r="B467" t="s">
        <v>151</v>
      </c>
      <c r="C467">
        <v>1</v>
      </c>
      <c r="D467">
        <v>10</v>
      </c>
      <c r="F467" s="9">
        <f t="shared" si="6"/>
        <v>10</v>
      </c>
      <c r="G467" s="9">
        <f t="shared" si="7"/>
        <v>0</v>
      </c>
      <c r="H467" s="8" t="s">
        <v>21</v>
      </c>
    </row>
    <row r="468" spans="1:26" ht="15.75" customHeight="1">
      <c r="A468" s="30">
        <v>45897</v>
      </c>
      <c r="B468" t="s">
        <v>279</v>
      </c>
      <c r="C468">
        <v>3</v>
      </c>
      <c r="D468">
        <v>30</v>
      </c>
      <c r="F468" s="9">
        <f t="shared" si="6"/>
        <v>90</v>
      </c>
      <c r="G468" s="9">
        <f t="shared" si="7"/>
        <v>0</v>
      </c>
      <c r="H468" s="8" t="s">
        <v>9</v>
      </c>
    </row>
    <row r="469" spans="1:26" ht="15.75" customHeight="1">
      <c r="A469" s="33">
        <v>45897</v>
      </c>
      <c r="B469" s="16" t="s">
        <v>282</v>
      </c>
      <c r="C469" s="16">
        <v>1</v>
      </c>
      <c r="D469" s="16">
        <v>30</v>
      </c>
      <c r="E469" s="17"/>
      <c r="F469" s="18">
        <f t="shared" si="6"/>
        <v>30</v>
      </c>
      <c r="G469" s="18">
        <f t="shared" si="7"/>
        <v>0</v>
      </c>
      <c r="H469" s="19" t="s">
        <v>21</v>
      </c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>
      <c r="A470" s="30">
        <v>45897</v>
      </c>
      <c r="B470" t="s">
        <v>217</v>
      </c>
      <c r="C470">
        <v>1</v>
      </c>
      <c r="D470">
        <v>80</v>
      </c>
      <c r="F470" s="9">
        <f t="shared" si="6"/>
        <v>80</v>
      </c>
      <c r="G470" s="9">
        <f t="shared" si="7"/>
        <v>0</v>
      </c>
      <c r="H470" s="8" t="s">
        <v>9</v>
      </c>
    </row>
    <row r="471" spans="1:26" ht="15.75" customHeight="1">
      <c r="A471" s="30">
        <v>45897</v>
      </c>
      <c r="B471" t="s">
        <v>22</v>
      </c>
      <c r="C471">
        <v>2</v>
      </c>
      <c r="D471">
        <v>55</v>
      </c>
      <c r="F471" s="9">
        <f t="shared" si="6"/>
        <v>110</v>
      </c>
      <c r="G471" s="9">
        <f t="shared" si="7"/>
        <v>0</v>
      </c>
      <c r="H471" s="8" t="s">
        <v>9</v>
      </c>
      <c r="J471" t="s">
        <v>283</v>
      </c>
    </row>
    <row r="472" spans="1:26" ht="15.75" customHeight="1">
      <c r="A472" s="30">
        <v>45897</v>
      </c>
      <c r="B472" t="s">
        <v>20</v>
      </c>
      <c r="C472">
        <v>1</v>
      </c>
      <c r="D472">
        <v>70</v>
      </c>
      <c r="F472" s="9">
        <f t="shared" si="6"/>
        <v>70</v>
      </c>
      <c r="G472" s="9">
        <f t="shared" si="7"/>
        <v>0</v>
      </c>
      <c r="H472" s="8" t="s">
        <v>21</v>
      </c>
    </row>
    <row r="473" spans="1:26" ht="15.75" customHeight="1">
      <c r="A473" s="30">
        <v>45897</v>
      </c>
      <c r="B473" t="s">
        <v>23</v>
      </c>
      <c r="C473">
        <v>1</v>
      </c>
      <c r="D473">
        <v>70</v>
      </c>
      <c r="F473" s="9">
        <f t="shared" si="6"/>
        <v>70</v>
      </c>
      <c r="G473" s="9">
        <f t="shared" si="7"/>
        <v>0</v>
      </c>
      <c r="H473" s="8" t="s">
        <v>21</v>
      </c>
    </row>
    <row r="474" spans="1:26" ht="15.75" customHeight="1">
      <c r="A474" s="30">
        <v>45897</v>
      </c>
      <c r="B474" t="s">
        <v>28</v>
      </c>
      <c r="C474">
        <v>2</v>
      </c>
      <c r="D474">
        <v>20</v>
      </c>
      <c r="E474" s="4">
        <f>5/40*100</f>
        <v>12.5</v>
      </c>
      <c r="F474" s="9">
        <f t="shared" si="6"/>
        <v>35</v>
      </c>
      <c r="G474" s="9">
        <f t="shared" si="7"/>
        <v>5</v>
      </c>
      <c r="H474" s="8" t="s">
        <v>21</v>
      </c>
      <c r="J474" t="s">
        <v>213</v>
      </c>
    </row>
    <row r="475" spans="1:26" ht="15.75" customHeight="1">
      <c r="A475" s="30">
        <v>45897</v>
      </c>
      <c r="B475" t="s">
        <v>151</v>
      </c>
      <c r="C475">
        <v>2</v>
      </c>
      <c r="D475">
        <v>10</v>
      </c>
      <c r="F475" s="9">
        <f t="shared" si="6"/>
        <v>20</v>
      </c>
      <c r="G475" s="9">
        <f t="shared" si="7"/>
        <v>0</v>
      </c>
      <c r="H475" s="8" t="s">
        <v>9</v>
      </c>
    </row>
    <row r="476" spans="1:26" ht="15.75" customHeight="1">
      <c r="A476" s="30">
        <v>45897</v>
      </c>
      <c r="B476" t="s">
        <v>284</v>
      </c>
      <c r="C476">
        <v>1</v>
      </c>
      <c r="D476">
        <v>10</v>
      </c>
      <c r="F476" s="9">
        <f t="shared" si="6"/>
        <v>10</v>
      </c>
      <c r="G476" s="9">
        <f t="shared" si="7"/>
        <v>0</v>
      </c>
      <c r="H476" s="8" t="s">
        <v>9</v>
      </c>
    </row>
    <row r="477" spans="1:26" ht="15.75" customHeight="1">
      <c r="A477" s="30">
        <v>45897</v>
      </c>
      <c r="B477" t="s">
        <v>285</v>
      </c>
      <c r="C477">
        <v>1</v>
      </c>
      <c r="D477">
        <v>60</v>
      </c>
      <c r="F477" s="9">
        <f t="shared" si="6"/>
        <v>60</v>
      </c>
      <c r="G477" s="9">
        <f t="shared" si="7"/>
        <v>0</v>
      </c>
      <c r="H477" s="8" t="s">
        <v>9</v>
      </c>
    </row>
    <row r="478" spans="1:26" ht="15.75" customHeight="1">
      <c r="A478" s="30">
        <v>45897</v>
      </c>
      <c r="B478" t="s">
        <v>252</v>
      </c>
      <c r="C478">
        <v>6</v>
      </c>
      <c r="D478">
        <v>18</v>
      </c>
      <c r="E478" s="4">
        <f>18/108*100</f>
        <v>16.6666666666667</v>
      </c>
      <c r="F478" s="9">
        <f t="shared" si="6"/>
        <v>90</v>
      </c>
      <c r="G478" s="9">
        <f t="shared" si="7"/>
        <v>18</v>
      </c>
      <c r="H478" s="8" t="s">
        <v>9</v>
      </c>
    </row>
    <row r="479" spans="1:26" ht="15.75" customHeight="1">
      <c r="A479" s="30">
        <v>45897</v>
      </c>
      <c r="B479" t="s">
        <v>42</v>
      </c>
      <c r="C479">
        <v>1</v>
      </c>
      <c r="D479">
        <v>90</v>
      </c>
      <c r="E479" s="4">
        <f>10/90*100</f>
        <v>11.1111111111111</v>
      </c>
      <c r="F479" s="9">
        <f t="shared" si="6"/>
        <v>80</v>
      </c>
      <c r="G479" s="9">
        <f t="shared" si="7"/>
        <v>10</v>
      </c>
      <c r="H479" s="8" t="s">
        <v>9</v>
      </c>
    </row>
    <row r="480" spans="1:26" ht="15.75" customHeight="1">
      <c r="A480" s="30">
        <v>45897</v>
      </c>
      <c r="B480" t="s">
        <v>23</v>
      </c>
      <c r="C480">
        <v>1</v>
      </c>
      <c r="D480">
        <v>70</v>
      </c>
      <c r="F480" s="9">
        <f t="shared" si="6"/>
        <v>70</v>
      </c>
      <c r="G480" s="9">
        <f t="shared" si="7"/>
        <v>0</v>
      </c>
      <c r="H480" s="8" t="s">
        <v>9</v>
      </c>
      <c r="J480" t="s">
        <v>286</v>
      </c>
    </row>
    <row r="481" spans="1:10" ht="15.75" customHeight="1">
      <c r="A481" s="30">
        <v>45897</v>
      </c>
      <c r="B481" t="s">
        <v>23</v>
      </c>
      <c r="C481">
        <v>1</v>
      </c>
      <c r="D481">
        <v>70</v>
      </c>
      <c r="F481" s="9">
        <f t="shared" si="6"/>
        <v>70</v>
      </c>
      <c r="G481" s="9">
        <f t="shared" si="7"/>
        <v>0</v>
      </c>
      <c r="H481" s="8" t="s">
        <v>9</v>
      </c>
    </row>
    <row r="482" spans="1:10" ht="15.75" customHeight="1">
      <c r="A482" s="30">
        <v>45897</v>
      </c>
      <c r="B482" t="s">
        <v>28</v>
      </c>
      <c r="C482">
        <v>3</v>
      </c>
      <c r="D482">
        <v>20</v>
      </c>
      <c r="E482" s="4">
        <f>10/60*100</f>
        <v>16.6666666666667</v>
      </c>
      <c r="F482" s="9">
        <f t="shared" si="6"/>
        <v>50</v>
      </c>
      <c r="G482" s="9">
        <f t="shared" si="7"/>
        <v>10</v>
      </c>
      <c r="H482" s="8" t="s">
        <v>9</v>
      </c>
    </row>
    <row r="483" spans="1:10" ht="15.75" customHeight="1">
      <c r="A483" s="30">
        <v>45897</v>
      </c>
      <c r="B483" t="s">
        <v>39</v>
      </c>
      <c r="C483">
        <v>1</v>
      </c>
      <c r="D483">
        <v>25</v>
      </c>
      <c r="F483" s="9">
        <f t="shared" si="6"/>
        <v>25</v>
      </c>
      <c r="G483" s="9">
        <f t="shared" si="7"/>
        <v>0</v>
      </c>
      <c r="H483" s="8" t="s">
        <v>9</v>
      </c>
    </row>
    <row r="484" spans="1:10" ht="15.75" customHeight="1">
      <c r="A484" s="30">
        <v>45897</v>
      </c>
      <c r="B484" t="s">
        <v>151</v>
      </c>
      <c r="C484">
        <v>2</v>
      </c>
      <c r="D484">
        <v>10</v>
      </c>
      <c r="F484" s="9">
        <f t="shared" si="6"/>
        <v>20</v>
      </c>
      <c r="G484" s="9">
        <f t="shared" si="7"/>
        <v>0</v>
      </c>
      <c r="H484" s="8" t="s">
        <v>9</v>
      </c>
      <c r="J484" t="s">
        <v>287</v>
      </c>
    </row>
    <row r="485" spans="1:10" ht="15.75" customHeight="1">
      <c r="A485" s="30">
        <v>45897</v>
      </c>
      <c r="B485" t="s">
        <v>26</v>
      </c>
      <c r="C485">
        <v>2</v>
      </c>
      <c r="D485">
        <v>110</v>
      </c>
      <c r="E485" s="4">
        <f>20/220*100</f>
        <v>9.0909090909090899</v>
      </c>
      <c r="F485" s="9">
        <f t="shared" si="6"/>
        <v>200</v>
      </c>
      <c r="G485" s="9">
        <f t="shared" si="7"/>
        <v>20</v>
      </c>
      <c r="H485" s="8" t="s">
        <v>9</v>
      </c>
    </row>
    <row r="486" spans="1:10" ht="15.75" customHeight="1">
      <c r="A486" s="30">
        <v>45897</v>
      </c>
      <c r="B486" t="s">
        <v>288</v>
      </c>
      <c r="C486">
        <v>1</v>
      </c>
      <c r="D486">
        <v>50</v>
      </c>
      <c r="E486" s="4">
        <f>10/50*100</f>
        <v>20</v>
      </c>
      <c r="F486" s="9">
        <f t="shared" si="6"/>
        <v>40</v>
      </c>
      <c r="G486" s="9">
        <f t="shared" si="7"/>
        <v>10</v>
      </c>
      <c r="H486" s="8" t="s">
        <v>9</v>
      </c>
    </row>
    <row r="487" spans="1:10" ht="15.75" customHeight="1">
      <c r="A487" s="30">
        <v>45897</v>
      </c>
      <c r="B487" t="s">
        <v>228</v>
      </c>
      <c r="C487">
        <v>2</v>
      </c>
      <c r="D487">
        <v>20</v>
      </c>
      <c r="F487" s="9">
        <f t="shared" si="6"/>
        <v>40</v>
      </c>
      <c r="G487" s="9">
        <f t="shared" si="7"/>
        <v>0</v>
      </c>
      <c r="H487" s="8" t="s">
        <v>9</v>
      </c>
    </row>
    <row r="488" spans="1:10" ht="15.75" customHeight="1">
      <c r="A488" s="30">
        <v>45897</v>
      </c>
      <c r="B488" t="s">
        <v>190</v>
      </c>
      <c r="C488">
        <v>1</v>
      </c>
      <c r="D488">
        <v>30</v>
      </c>
      <c r="E488" s="4">
        <f>2/30*100</f>
        <v>6.6666666666666696</v>
      </c>
      <c r="F488" s="9">
        <f t="shared" si="6"/>
        <v>28</v>
      </c>
      <c r="G488" s="9">
        <f t="shared" si="7"/>
        <v>2</v>
      </c>
      <c r="H488" s="8" t="s">
        <v>9</v>
      </c>
    </row>
    <row r="489" spans="1:10" ht="15.75" customHeight="1">
      <c r="A489" s="30">
        <v>45897</v>
      </c>
      <c r="B489" t="s">
        <v>268</v>
      </c>
      <c r="C489">
        <v>1</v>
      </c>
      <c r="D489">
        <v>25</v>
      </c>
      <c r="F489" s="9">
        <f t="shared" si="6"/>
        <v>25</v>
      </c>
      <c r="G489" s="9">
        <f t="shared" si="7"/>
        <v>0</v>
      </c>
      <c r="H489" s="8" t="s">
        <v>9</v>
      </c>
    </row>
    <row r="490" spans="1:10" ht="15.75" customHeight="1">
      <c r="A490" s="30">
        <v>45897</v>
      </c>
      <c r="B490" t="s">
        <v>157</v>
      </c>
      <c r="C490">
        <v>2</v>
      </c>
      <c r="D490">
        <v>40</v>
      </c>
      <c r="F490" s="9">
        <f t="shared" si="6"/>
        <v>80</v>
      </c>
      <c r="G490" s="9">
        <f t="shared" si="7"/>
        <v>0</v>
      </c>
      <c r="H490" s="8" t="s">
        <v>21</v>
      </c>
    </row>
    <row r="491" spans="1:10" ht="15.75" customHeight="1">
      <c r="A491" s="30">
        <v>45897</v>
      </c>
      <c r="B491" t="s">
        <v>194</v>
      </c>
      <c r="C491">
        <v>1</v>
      </c>
      <c r="D491">
        <v>30</v>
      </c>
      <c r="F491" s="9">
        <f t="shared" si="6"/>
        <v>30</v>
      </c>
      <c r="G491" s="9">
        <f t="shared" si="7"/>
        <v>0</v>
      </c>
      <c r="H491" s="8" t="s">
        <v>21</v>
      </c>
    </row>
    <row r="492" spans="1:10" ht="15.75" customHeight="1">
      <c r="A492" s="30">
        <v>45897</v>
      </c>
      <c r="B492" t="s">
        <v>289</v>
      </c>
      <c r="C492">
        <v>1</v>
      </c>
      <c r="D492">
        <v>120</v>
      </c>
      <c r="F492" s="9">
        <f t="shared" si="6"/>
        <v>120</v>
      </c>
      <c r="G492" s="9">
        <f t="shared" si="7"/>
        <v>0</v>
      </c>
      <c r="H492" s="8" t="s">
        <v>21</v>
      </c>
      <c r="J492" t="s">
        <v>290</v>
      </c>
    </row>
    <row r="493" spans="1:10" ht="15.75" customHeight="1">
      <c r="A493" s="30">
        <v>45897</v>
      </c>
      <c r="B493" t="s">
        <v>22</v>
      </c>
      <c r="C493">
        <v>1</v>
      </c>
      <c r="D493">
        <v>55</v>
      </c>
      <c r="F493" s="9">
        <f t="shared" si="6"/>
        <v>55</v>
      </c>
      <c r="G493" s="9">
        <f t="shared" si="7"/>
        <v>0</v>
      </c>
      <c r="H493" s="8" t="s">
        <v>9</v>
      </c>
    </row>
    <row r="494" spans="1:10" ht="15.75" customHeight="1">
      <c r="A494" s="30">
        <v>45897</v>
      </c>
      <c r="B494" t="s">
        <v>291</v>
      </c>
      <c r="C494">
        <v>1</v>
      </c>
      <c r="D494">
        <v>30</v>
      </c>
      <c r="E494" s="4">
        <f>5/30*100</f>
        <v>16.6666666666667</v>
      </c>
      <c r="F494" s="9">
        <f t="shared" si="6"/>
        <v>25</v>
      </c>
      <c r="G494" s="9">
        <f t="shared" si="7"/>
        <v>5</v>
      </c>
      <c r="H494" s="8" t="s">
        <v>9</v>
      </c>
    </row>
    <row r="495" spans="1:10" ht="15.75" customHeight="1">
      <c r="A495" s="30">
        <v>45898</v>
      </c>
      <c r="B495" t="s">
        <v>181</v>
      </c>
      <c r="C495">
        <v>3</v>
      </c>
      <c r="D495">
        <v>10</v>
      </c>
      <c r="F495" s="9">
        <f t="shared" si="6"/>
        <v>30</v>
      </c>
      <c r="G495" s="9">
        <f t="shared" si="7"/>
        <v>0</v>
      </c>
      <c r="H495" s="8" t="s">
        <v>9</v>
      </c>
    </row>
    <row r="496" spans="1:10" ht="15.75" customHeight="1">
      <c r="A496" s="30">
        <v>45898</v>
      </c>
      <c r="B496" t="s">
        <v>151</v>
      </c>
      <c r="C496">
        <v>2</v>
      </c>
      <c r="D496">
        <v>10</v>
      </c>
      <c r="F496" s="9">
        <f t="shared" si="6"/>
        <v>20</v>
      </c>
      <c r="G496" s="9">
        <f t="shared" si="7"/>
        <v>0</v>
      </c>
      <c r="H496" s="8" t="s">
        <v>9</v>
      </c>
    </row>
    <row r="497" spans="1:8" ht="15.75" customHeight="1">
      <c r="A497" s="30">
        <v>45898</v>
      </c>
      <c r="B497" t="s">
        <v>212</v>
      </c>
      <c r="C497">
        <v>2</v>
      </c>
      <c r="D497">
        <v>150</v>
      </c>
      <c r="E497" s="4">
        <f>60/300*100</f>
        <v>20</v>
      </c>
      <c r="F497" s="9">
        <f t="shared" si="6"/>
        <v>240</v>
      </c>
      <c r="G497" s="9">
        <f t="shared" si="7"/>
        <v>60</v>
      </c>
      <c r="H497" s="8" t="s">
        <v>9</v>
      </c>
    </row>
    <row r="498" spans="1:8" ht="15.75" customHeight="1">
      <c r="A498" s="30">
        <v>45898</v>
      </c>
      <c r="B498" t="s">
        <v>85</v>
      </c>
      <c r="C498">
        <v>1</v>
      </c>
      <c r="D498">
        <v>60</v>
      </c>
      <c r="F498" s="9">
        <f t="shared" si="6"/>
        <v>60</v>
      </c>
      <c r="G498" s="9">
        <f t="shared" si="7"/>
        <v>0</v>
      </c>
      <c r="H498" s="8" t="s">
        <v>9</v>
      </c>
    </row>
    <row r="499" spans="1:8" ht="15.75" customHeight="1">
      <c r="A499" s="30">
        <v>45898</v>
      </c>
      <c r="B499" t="s">
        <v>280</v>
      </c>
      <c r="C499">
        <v>1</v>
      </c>
      <c r="D499">
        <v>25</v>
      </c>
      <c r="F499" s="9">
        <f t="shared" si="6"/>
        <v>25</v>
      </c>
      <c r="G499" s="9">
        <f t="shared" si="7"/>
        <v>0</v>
      </c>
      <c r="H499" s="8" t="s">
        <v>21</v>
      </c>
    </row>
    <row r="500" spans="1:8" ht="15.75" customHeight="1">
      <c r="A500" s="30">
        <v>45898</v>
      </c>
      <c r="B500" t="s">
        <v>284</v>
      </c>
      <c r="C500">
        <v>1</v>
      </c>
      <c r="D500">
        <v>25</v>
      </c>
      <c r="F500" s="9">
        <f t="shared" si="6"/>
        <v>25</v>
      </c>
      <c r="G500" s="9">
        <f t="shared" si="7"/>
        <v>0</v>
      </c>
      <c r="H500" s="8" t="s">
        <v>21</v>
      </c>
    </row>
    <row r="501" spans="1:8" ht="15.75" customHeight="1">
      <c r="A501" s="30">
        <v>45898</v>
      </c>
      <c r="B501" t="s">
        <v>46</v>
      </c>
      <c r="C501">
        <v>1</v>
      </c>
      <c r="D501">
        <v>90</v>
      </c>
      <c r="F501" s="9">
        <f t="shared" si="6"/>
        <v>90</v>
      </c>
      <c r="G501" s="9">
        <f t="shared" si="7"/>
        <v>0</v>
      </c>
      <c r="H501" s="8" t="s">
        <v>21</v>
      </c>
    </row>
    <row r="502" spans="1:8" ht="15.75" customHeight="1">
      <c r="A502" s="30">
        <v>45898</v>
      </c>
      <c r="B502" t="s">
        <v>269</v>
      </c>
      <c r="C502">
        <v>2</v>
      </c>
      <c r="D502">
        <v>25</v>
      </c>
      <c r="F502" s="9">
        <f t="shared" si="6"/>
        <v>50</v>
      </c>
      <c r="G502" s="9">
        <f t="shared" si="7"/>
        <v>0</v>
      </c>
      <c r="H502" s="8" t="s">
        <v>21</v>
      </c>
    </row>
    <row r="503" spans="1:8" ht="15.75" customHeight="1">
      <c r="A503" s="30">
        <v>45898</v>
      </c>
      <c r="B503" t="s">
        <v>292</v>
      </c>
      <c r="C503">
        <v>3</v>
      </c>
      <c r="D503">
        <v>10</v>
      </c>
      <c r="F503" s="9">
        <f t="shared" si="6"/>
        <v>30</v>
      </c>
      <c r="G503" s="9">
        <f t="shared" si="7"/>
        <v>0</v>
      </c>
      <c r="H503" s="8" t="s">
        <v>21</v>
      </c>
    </row>
    <row r="504" spans="1:8" ht="15.75" customHeight="1">
      <c r="A504" s="30">
        <v>45898</v>
      </c>
      <c r="B504" t="s">
        <v>46</v>
      </c>
      <c r="C504">
        <v>1</v>
      </c>
      <c r="D504">
        <v>90</v>
      </c>
      <c r="F504" s="9">
        <f t="shared" si="6"/>
        <v>90</v>
      </c>
      <c r="G504" s="9">
        <f t="shared" si="7"/>
        <v>0</v>
      </c>
      <c r="H504" s="8" t="s">
        <v>21</v>
      </c>
    </row>
    <row r="505" spans="1:8" ht="15.75" customHeight="1">
      <c r="A505" s="30">
        <v>45898</v>
      </c>
      <c r="B505" t="s">
        <v>157</v>
      </c>
      <c r="C505">
        <v>1</v>
      </c>
      <c r="D505">
        <v>35</v>
      </c>
      <c r="F505" s="9">
        <f t="shared" si="6"/>
        <v>35</v>
      </c>
      <c r="G505" s="9">
        <f t="shared" si="7"/>
        <v>0</v>
      </c>
      <c r="H505" s="8" t="s">
        <v>21</v>
      </c>
    </row>
    <row r="506" spans="1:8" ht="15.75" customHeight="1">
      <c r="A506" s="30">
        <v>45898</v>
      </c>
      <c r="B506" t="s">
        <v>55</v>
      </c>
      <c r="C506">
        <v>1</v>
      </c>
      <c r="D506">
        <v>50</v>
      </c>
      <c r="F506" s="9">
        <f t="shared" si="6"/>
        <v>50</v>
      </c>
      <c r="G506" s="9">
        <f t="shared" si="7"/>
        <v>0</v>
      </c>
      <c r="H506" s="8" t="s">
        <v>21</v>
      </c>
    </row>
    <row r="507" spans="1:8" ht="15.75" customHeight="1">
      <c r="A507" s="30">
        <v>45898</v>
      </c>
      <c r="B507" t="s">
        <v>293</v>
      </c>
      <c r="C507">
        <v>6</v>
      </c>
      <c r="D507">
        <v>18</v>
      </c>
      <c r="F507" s="9">
        <f t="shared" si="6"/>
        <v>108</v>
      </c>
      <c r="G507" s="9">
        <f t="shared" si="7"/>
        <v>0</v>
      </c>
      <c r="H507" s="8" t="s">
        <v>21</v>
      </c>
    </row>
    <row r="508" spans="1:8" ht="15.75" customHeight="1">
      <c r="A508" s="30">
        <v>45898</v>
      </c>
      <c r="B508" t="s">
        <v>42</v>
      </c>
      <c r="C508">
        <v>1</v>
      </c>
      <c r="D508">
        <v>92</v>
      </c>
      <c r="F508" s="9">
        <f t="shared" si="6"/>
        <v>92</v>
      </c>
      <c r="G508" s="9">
        <f t="shared" si="7"/>
        <v>0</v>
      </c>
      <c r="H508" s="8" t="s">
        <v>21</v>
      </c>
    </row>
    <row r="509" spans="1:8" ht="15.75" customHeight="1">
      <c r="A509" s="30">
        <v>45898</v>
      </c>
      <c r="B509" t="s">
        <v>268</v>
      </c>
      <c r="C509">
        <v>1</v>
      </c>
      <c r="D509">
        <v>30</v>
      </c>
      <c r="F509" s="9">
        <f t="shared" si="6"/>
        <v>30</v>
      </c>
      <c r="G509" s="9">
        <f t="shared" si="7"/>
        <v>0</v>
      </c>
      <c r="H509" s="8" t="s">
        <v>9</v>
      </c>
    </row>
    <row r="510" spans="1:8" ht="15.75" customHeight="1">
      <c r="A510" s="30">
        <v>45899</v>
      </c>
      <c r="B510" t="s">
        <v>151</v>
      </c>
      <c r="C510">
        <v>4</v>
      </c>
      <c r="D510">
        <v>10</v>
      </c>
      <c r="F510" s="9">
        <f t="shared" si="6"/>
        <v>40</v>
      </c>
      <c r="G510" s="9">
        <f t="shared" si="7"/>
        <v>0</v>
      </c>
      <c r="H510" s="8" t="s">
        <v>21</v>
      </c>
    </row>
    <row r="511" spans="1:8" ht="15.75" customHeight="1">
      <c r="A511" s="30">
        <v>45899</v>
      </c>
      <c r="B511" t="s">
        <v>294</v>
      </c>
      <c r="C511">
        <v>3</v>
      </c>
      <c r="D511">
        <v>25</v>
      </c>
      <c r="F511" s="9">
        <f t="shared" si="6"/>
        <v>75</v>
      </c>
      <c r="G511" s="9">
        <f t="shared" si="7"/>
        <v>0</v>
      </c>
      <c r="H511" s="8" t="s">
        <v>21</v>
      </c>
    </row>
    <row r="512" spans="1:8" ht="15.75" customHeight="1">
      <c r="A512" s="30">
        <v>45899</v>
      </c>
      <c r="B512" t="s">
        <v>257</v>
      </c>
      <c r="C512">
        <v>2</v>
      </c>
      <c r="D512">
        <v>10</v>
      </c>
      <c r="F512" s="9">
        <f t="shared" si="6"/>
        <v>20</v>
      </c>
      <c r="G512" s="9">
        <f t="shared" si="7"/>
        <v>0</v>
      </c>
      <c r="H512" s="8" t="s">
        <v>9</v>
      </c>
    </row>
    <row r="513" spans="1:8" ht="15.75" customHeight="1">
      <c r="A513" s="30">
        <v>45899</v>
      </c>
      <c r="B513" t="s">
        <v>46</v>
      </c>
      <c r="C513">
        <v>1</v>
      </c>
      <c r="D513">
        <v>90</v>
      </c>
      <c r="F513" s="9">
        <f t="shared" si="6"/>
        <v>90</v>
      </c>
      <c r="G513" s="9">
        <f t="shared" si="7"/>
        <v>0</v>
      </c>
      <c r="H513" s="8" t="s">
        <v>9</v>
      </c>
    </row>
    <row r="514" spans="1:8" ht="15.75" customHeight="1">
      <c r="A514" s="30">
        <v>45899</v>
      </c>
      <c r="B514" t="s">
        <v>22</v>
      </c>
      <c r="C514">
        <v>1</v>
      </c>
      <c r="D514">
        <v>55</v>
      </c>
      <c r="F514" s="9">
        <f t="shared" si="6"/>
        <v>55</v>
      </c>
      <c r="G514" s="9">
        <f t="shared" si="7"/>
        <v>0</v>
      </c>
      <c r="H514" s="8" t="s">
        <v>9</v>
      </c>
    </row>
    <row r="515" spans="1:8" ht="15.75" customHeight="1">
      <c r="A515" s="30">
        <v>45899</v>
      </c>
      <c r="B515" t="s">
        <v>295</v>
      </c>
      <c r="C515">
        <v>1</v>
      </c>
      <c r="D515">
        <v>30</v>
      </c>
      <c r="F515" s="9">
        <f t="shared" si="6"/>
        <v>30</v>
      </c>
      <c r="G515" s="9">
        <f t="shared" si="7"/>
        <v>0</v>
      </c>
      <c r="H515" s="8" t="s">
        <v>9</v>
      </c>
    </row>
    <row r="516" spans="1:8" ht="15.75" customHeight="1">
      <c r="A516" s="30">
        <v>45899</v>
      </c>
      <c r="B516" t="s">
        <v>296</v>
      </c>
      <c r="C516">
        <v>1</v>
      </c>
      <c r="D516">
        <v>60</v>
      </c>
      <c r="F516" s="9">
        <f t="shared" si="6"/>
        <v>60</v>
      </c>
      <c r="G516" s="9">
        <f t="shared" si="7"/>
        <v>0</v>
      </c>
      <c r="H516" s="8" t="s">
        <v>9</v>
      </c>
    </row>
    <row r="517" spans="1:8" ht="15.75" customHeight="1">
      <c r="A517" s="30">
        <v>45899</v>
      </c>
      <c r="B517" t="s">
        <v>278</v>
      </c>
      <c r="C517">
        <v>1</v>
      </c>
      <c r="D517">
        <v>10</v>
      </c>
      <c r="F517" s="9">
        <f t="shared" si="6"/>
        <v>10</v>
      </c>
      <c r="G517" s="9">
        <f t="shared" si="7"/>
        <v>0</v>
      </c>
      <c r="H517" s="8" t="s">
        <v>21</v>
      </c>
    </row>
    <row r="518" spans="1:8" ht="15.75" customHeight="1"/>
    <row r="519" spans="1:8" ht="15.75" customHeight="1"/>
    <row r="520" spans="1:8" ht="15.75" customHeight="1"/>
    <row r="521" spans="1:8" ht="15.75" customHeight="1"/>
    <row r="522" spans="1:8" ht="15.75" customHeight="1"/>
    <row r="523" spans="1:8" ht="15.75" customHeight="1"/>
    <row r="524" spans="1:8" ht="15.75" customHeight="1"/>
    <row r="525" spans="1:8" ht="15.75" customHeight="1"/>
    <row r="526" spans="1:8" ht="15.75" customHeight="1"/>
    <row r="527" spans="1:8" ht="15.75" customHeight="1"/>
    <row r="528" spans="1: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J517"/>
  <dataValidations count="1">
    <dataValidation type="list" allowBlank="1" showErrorMessage="1" sqref="H2:H517">
      <formula1>"Espèces,carte"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Dashboard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NSI</cp:lastModifiedBy>
  <dcterms:created xsi:type="dcterms:W3CDTF">2025-09-11T13:37:00Z</dcterms:created>
  <dcterms:modified xsi:type="dcterms:W3CDTF">2026-03-29T13:06:01Z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D944BABEA5C0403895A6D18CF6188E30_12</vt:lpwstr>
  </property>
  <property fmtid="{D5CDD505-2E9C-101B-9397-08002B2CF9AE}" pid="3" name="KSOProductBuildVer">
    <vt:lpwstr>1036-12.2.0.23196</vt:lpwstr>
  </property>
</Properties>
</file>