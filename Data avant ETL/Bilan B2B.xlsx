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460"/>
  </bookViews>
  <sheets>
    <sheet name="Revenus B2B" sheetId="1" r:id="rId1"/>
    <sheet name="Revenus par client" sheetId="2" r:id="rId2"/>
    <sheet name="Feuille4" sheetId="8" r:id="rId3"/>
    <sheet name="Feuille5" sheetId="9" r:id="rId4"/>
    <sheet name="Bilan" sheetId="7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<sst xmlns="http://schemas.openxmlformats.org/spreadsheetml/2006/main" count="282" uniqueCount="119">
  <si>
    <t>Client</t>
  </si>
  <si>
    <t>Facture</t>
  </si>
  <si>
    <t>Date</t>
  </si>
  <si>
    <t>MontantHT</t>
  </si>
  <si>
    <t>WIFAK INTERNATIONAL BANK</t>
  </si>
  <si>
    <t>2024-005</t>
  </si>
  <si>
    <t>FAC24-012</t>
  </si>
  <si>
    <t>FAC24-015</t>
  </si>
  <si>
    <t>FAC24-024</t>
  </si>
  <si>
    <t>Stram</t>
  </si>
  <si>
    <t>2023-051</t>
  </si>
  <si>
    <t>Attijari Bank</t>
  </si>
  <si>
    <t>FAC24-02</t>
  </si>
  <si>
    <t>Attijari Leasing</t>
  </si>
  <si>
    <t>FAC24-010</t>
  </si>
  <si>
    <t>BH BANK</t>
  </si>
  <si>
    <t>2023-053</t>
  </si>
  <si>
    <t>SAMFI</t>
  </si>
  <si>
    <t>2023-062</t>
  </si>
  <si>
    <t>2024-003</t>
  </si>
  <si>
    <t>FAC24-013</t>
  </si>
  <si>
    <t>FAC24-016</t>
  </si>
  <si>
    <t>FAC24-017</t>
  </si>
  <si>
    <t>FAC24-018</t>
  </si>
  <si>
    <t>SOFIA TECH</t>
  </si>
  <si>
    <t>2023-057</t>
  </si>
  <si>
    <t>Tunis Call Center</t>
  </si>
  <si>
    <t>FAC24-022</t>
  </si>
  <si>
    <t>Fac25-07</t>
  </si>
  <si>
    <t>Fac25-10</t>
  </si>
  <si>
    <t>Fac25-12</t>
  </si>
  <si>
    <t>Fac25-11</t>
  </si>
  <si>
    <t>Bank ABC Tunis</t>
  </si>
  <si>
    <t>FAC25-32</t>
  </si>
  <si>
    <t>FAC25-36</t>
  </si>
  <si>
    <t>FAC25-37</t>
  </si>
  <si>
    <t>Digital Services Value</t>
  </si>
  <si>
    <t>FAC25-13BIS</t>
  </si>
  <si>
    <t>Everience</t>
  </si>
  <si>
    <t>FAC25-02</t>
  </si>
  <si>
    <t>Lilas</t>
  </si>
  <si>
    <t>FAC25-29</t>
  </si>
  <si>
    <t>N N FOOD</t>
  </si>
  <si>
    <t>FAC25-38</t>
  </si>
  <si>
    <t>SBCD</t>
  </si>
  <si>
    <t>FAC25-34</t>
  </si>
  <si>
    <t>SOTIC</t>
  </si>
  <si>
    <t>T T E INTERNATIONAL</t>
  </si>
  <si>
    <t>FAC25-33</t>
  </si>
  <si>
    <t>Transider</t>
  </si>
  <si>
    <t>FAC25-14BIS</t>
  </si>
  <si>
    <t>FAC25-35</t>
  </si>
  <si>
    <t>FAC25-04</t>
  </si>
  <si>
    <t>FAC25-27</t>
  </si>
  <si>
    <t>FAC25-28</t>
  </si>
  <si>
    <t>Foire national Sousse</t>
  </si>
  <si>
    <t>Force Management</t>
  </si>
  <si>
    <t>FAC24-014</t>
  </si>
  <si>
    <t>GPS CONSULTING</t>
  </si>
  <si>
    <t>2023-056</t>
  </si>
  <si>
    <t>Total en DT</t>
  </si>
  <si>
    <t>Nombre de marchés</t>
  </si>
  <si>
    <t>% CA</t>
  </si>
  <si>
    <t>TOTAL</t>
  </si>
  <si>
    <t>Montant</t>
  </si>
  <si>
    <t>Somme de Montant</t>
  </si>
  <si>
    <t>Étiquettes de colonnes</t>
  </si>
  <si>
    <t>Total 11/08/2023</t>
  </si>
  <si>
    <t>Total 19/12/2023</t>
  </si>
  <si>
    <t>Total 22/12/2023</t>
  </si>
  <si>
    <t>Total 26/12/2023</t>
  </si>
  <si>
    <t>Total 28/12/2023</t>
  </si>
  <si>
    <t>Total 25/01/2024</t>
  </si>
  <si>
    <t>Total 31/01/2024</t>
  </si>
  <si>
    <t>Total 07/03/2024</t>
  </si>
  <si>
    <t>Total 08/03/2024</t>
  </si>
  <si>
    <t>Total 15/05/2024</t>
  </si>
  <si>
    <t>Total 12/06/2024</t>
  </si>
  <si>
    <t>Total 01/07/2024</t>
  </si>
  <si>
    <t>Total 30/07/2024</t>
  </si>
  <si>
    <t>Total 06/09/2024</t>
  </si>
  <si>
    <t>Total 13/11/2024</t>
  </si>
  <si>
    <t>Total 10/12/2024</t>
  </si>
  <si>
    <t>Total 02/01/2025</t>
  </si>
  <si>
    <t>Total 03/01/2025</t>
  </si>
  <si>
    <t>Total 06/01/2025</t>
  </si>
  <si>
    <t>Total 16/01/2025</t>
  </si>
  <si>
    <t>Total 03/02/2025</t>
  </si>
  <si>
    <t>Total 10/02/2025</t>
  </si>
  <si>
    <t>Total 02/03/2025</t>
  </si>
  <si>
    <t>Total 05/03/2025</t>
  </si>
  <si>
    <t>Total 06/03/2025</t>
  </si>
  <si>
    <t>Total 27/03/2025</t>
  </si>
  <si>
    <t>Total 03/04/2025</t>
  </si>
  <si>
    <t>Total 11/04/2025</t>
  </si>
  <si>
    <t>Total 15/04/2025</t>
  </si>
  <si>
    <t>Total 30/04/2025</t>
  </si>
  <si>
    <t>Total 28/05/2025</t>
  </si>
  <si>
    <t>Total 29/05/2025</t>
  </si>
  <si>
    <t>Total 01/07/2025</t>
  </si>
  <si>
    <t>Total 19/08/2025</t>
  </si>
  <si>
    <t>Total 11/09/2025</t>
  </si>
  <si>
    <t>Total 14/10/2025</t>
  </si>
  <si>
    <t>Total 17/10/2025</t>
  </si>
  <si>
    <t>Total 17/11/2025</t>
  </si>
  <si>
    <t>Total 18/11/2025</t>
  </si>
  <si>
    <t>Total 21/11/2025</t>
  </si>
  <si>
    <t>Total 26/11/2025</t>
  </si>
  <si>
    <t>Total 10/12/2025</t>
  </si>
  <si>
    <t>Total 12/12/2025</t>
  </si>
  <si>
    <t>Total 15/12/2025</t>
  </si>
  <si>
    <t>Total 16/12/2025</t>
  </si>
  <si>
    <t>Total général</t>
  </si>
  <si>
    <t>Étiquettes de lignes</t>
  </si>
  <si>
    <t>2023</t>
  </si>
  <si>
    <t>2024</t>
  </si>
  <si>
    <t>2025</t>
  </si>
  <si>
    <t>(vide)</t>
  </si>
  <si>
    <t>FAC-25-28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</si>
</sst>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d/mm/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4">
    <xf numFmtId="0" fontId="0" fillId="0" borderId="0" xfId="0"/>
    <xf numFmtId="58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58" fontId="2" fillId="5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58" fontId="2" fillId="5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2">
    <dxf>
      <numFmt numFmtId="58" formatCode="dd/mm/yyyy"/>
    </dxf>
    <dxf>
      <numFmt numFmtId="58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fr-F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CA par client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'Revenus par client'!$B$1</c:f>
              <c:strCache>
                <c:ptCount val="1"/>
                <c:pt idx="0">
                  <c:v>Total en DT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'Revenus par client'!$A$2:$A$18</c:f>
              <c:strCache>
                <c:ptCount val="17"/>
                <c:pt idx="0">
                  <c:v>WIFAK INTERNATIONAL BANK</c:v>
                </c:pt>
                <c:pt idx="1">
                  <c:v>Stram</c:v>
                </c:pt>
                <c:pt idx="2">
                  <c:v>Attijari Bank</c:v>
                </c:pt>
                <c:pt idx="3">
                  <c:v>Attijari Leasing</c:v>
                </c:pt>
                <c:pt idx="4">
                  <c:v>BH BANK</c:v>
                </c:pt>
                <c:pt idx="5">
                  <c:v>SAMFI</c:v>
                </c:pt>
                <c:pt idx="6">
                  <c:v>SOFIA TECH</c:v>
                </c:pt>
                <c:pt idx="7">
                  <c:v>Tunis Call Center</c:v>
                </c:pt>
                <c:pt idx="8">
                  <c:v>Bank ABC Tunis</c:v>
                </c:pt>
                <c:pt idx="9">
                  <c:v>Digital Services Value</c:v>
                </c:pt>
                <c:pt idx="10">
                  <c:v>Everience</c:v>
                </c:pt>
                <c:pt idx="11">
                  <c:v>Lilas</c:v>
                </c:pt>
                <c:pt idx="12">
                  <c:v>N N FOOD</c:v>
                </c:pt>
                <c:pt idx="13">
                  <c:v>SBCD</c:v>
                </c:pt>
                <c:pt idx="14">
                  <c:v>SOTIC</c:v>
                </c:pt>
                <c:pt idx="15">
                  <c:v>T T E INTERNATIONAL</c:v>
                </c:pt>
                <c:pt idx="16">
                  <c:v>Transider</c:v>
                </c:pt>
              </c:strCache>
            </c:strRef>
          </c:cat>
          <c:val>
            <c:numRef>
              <c:f>'Revenus par client'!$B$2:$B$18</c:f>
              <c:numCache>
                <c:formatCode>General</c:formatCode>
                <c:ptCount val="17"/>
                <c:pt idx="0">
                  <c:v>40115.42</c:v>
                </c:pt>
                <c:pt idx="1">
                  <c:v>5100</c:v>
                </c:pt>
                <c:pt idx="2">
                  <c:v>109504.5</c:v>
                </c:pt>
                <c:pt idx="3">
                  <c:v>4024.9</c:v>
                </c:pt>
                <c:pt idx="4">
                  <c:v>7470</c:v>
                </c:pt>
                <c:pt idx="5">
                  <c:v>9100</c:v>
                </c:pt>
                <c:pt idx="6">
                  <c:v>5460</c:v>
                </c:pt>
                <c:pt idx="7">
                  <c:v>36667.5</c:v>
                </c:pt>
                <c:pt idx="8">
                  <c:v>7775</c:v>
                </c:pt>
                <c:pt idx="9">
                  <c:v>224.34</c:v>
                </c:pt>
                <c:pt idx="10">
                  <c:v>50000</c:v>
                </c:pt>
                <c:pt idx="11">
                  <c:v>1785</c:v>
                </c:pt>
                <c:pt idx="12">
                  <c:v>1720</c:v>
                </c:pt>
                <c:pt idx="13">
                  <c:v>605</c:v>
                </c:pt>
                <c:pt idx="14">
                  <c:v>1871</c:v>
                </c:pt>
                <c:pt idx="15">
                  <c:v>470</c:v>
                </c:pt>
                <c:pt idx="16">
                  <c:v>150</c:v>
                </c:pt>
              </c:numCache>
            </c:numRef>
          </c:val>
        </c:ser>
        <c:ser>
          <c:idx val="1"/>
          <c:order val="1"/>
          <c:tx>
            <c:strRef>
              <c:f>'Revenus par client'!$C$1</c:f>
              <c:strCache>
                <c:ptCount val="1"/>
                <c:pt idx="0">
                  <c:v>Nombre de marchés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</c:dPt>
          <c:dLbls>
            <c:delete val="1"/>
          </c:dLbls>
          <c:cat>
            <c:strRef>
              <c:f>'Revenus par client'!$A$2:$A$18</c:f>
              <c:strCache>
                <c:ptCount val="17"/>
                <c:pt idx="0">
                  <c:v>WIFAK INTERNATIONAL BANK</c:v>
                </c:pt>
                <c:pt idx="1">
                  <c:v>Stram</c:v>
                </c:pt>
                <c:pt idx="2">
                  <c:v>Attijari Bank</c:v>
                </c:pt>
                <c:pt idx="3">
                  <c:v>Attijari Leasing</c:v>
                </c:pt>
                <c:pt idx="4">
                  <c:v>BH BANK</c:v>
                </c:pt>
                <c:pt idx="5">
                  <c:v>SAMFI</c:v>
                </c:pt>
                <c:pt idx="6">
                  <c:v>SOFIA TECH</c:v>
                </c:pt>
                <c:pt idx="7">
                  <c:v>Tunis Call Center</c:v>
                </c:pt>
                <c:pt idx="8">
                  <c:v>Bank ABC Tunis</c:v>
                </c:pt>
                <c:pt idx="9">
                  <c:v>Digital Services Value</c:v>
                </c:pt>
                <c:pt idx="10">
                  <c:v>Everience</c:v>
                </c:pt>
                <c:pt idx="11">
                  <c:v>Lilas</c:v>
                </c:pt>
                <c:pt idx="12">
                  <c:v>N N FOOD</c:v>
                </c:pt>
                <c:pt idx="13">
                  <c:v>SBCD</c:v>
                </c:pt>
                <c:pt idx="14">
                  <c:v>SOTIC</c:v>
                </c:pt>
                <c:pt idx="15">
                  <c:v>T T E INTERNATIONAL</c:v>
                </c:pt>
                <c:pt idx="16">
                  <c:v>Transider</c:v>
                </c:pt>
              </c:strCache>
            </c:strRef>
          </c:cat>
          <c:val>
            <c:numRef>
              <c:f>'Revenus par client'!$C$2:$C$18</c:f>
              <c:numCache>
                <c:formatCode>General</c:formatCode>
                <c:ptCount val="17"/>
                <c:pt idx="0">
                  <c:v>8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18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32ee3c-76b0-4b6b-a492-3f8702805b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9524</xdr:colOff>
      <xdr:row>0</xdr:row>
      <xdr:rowOff>0</xdr:rowOff>
    </xdr:from>
    <xdr:to>
      <xdr:col>13</xdr:col>
      <xdr:colOff>57149</xdr:colOff>
      <xdr:row>19</xdr:row>
      <xdr:rowOff>66675</xdr:rowOff>
    </xdr:to>
    <xdr:graphicFrame>
      <xdr:nvGraphicFramePr>
        <xdr:cNvPr id="2" name="Graphique 1"/>
        <xdr:cNvGraphicFramePr/>
      </xdr:nvGraphicFramePr>
      <xdr:xfrm>
        <a:off x="5390515" y="0"/>
        <a:ext cx="5915025" cy="3686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45.5516790509" refreshedBy="Alaeddine Abidi" recordCount="57">
  <cacheSource type="worksheet">
    <worksheetSource ref="A1:D58" sheet="Revenus B2B"/>
  </cacheSource>
  <cacheFields count="7">
    <cacheField name="Client" numFmtId="0">
      <sharedItems count="17">
        <s v="WIFAK INTERNATIONAL BANK"/>
        <s v="Stram"/>
        <s v="Attijari Bank"/>
        <s v="Attijari Leasing"/>
        <s v="BH BANK"/>
        <s v="SAMFI"/>
        <s v="SOFIA TECH"/>
        <s v="Tunis Call Center"/>
        <s v="Bank ABC Tunis"/>
        <s v="Digital Services Value"/>
        <s v="Everience"/>
        <s v="Lilas"/>
        <s v="N N FOOD"/>
        <s v="SBCD"/>
        <s v="SOTIC"/>
        <s v="T T E INTERNATIONAL"/>
        <s v="Transider"/>
      </sharedItems>
    </cacheField>
    <cacheField name="Facture" numFmtId="0">
      <sharedItems containsBlank="1" containsNumber="1" containsInteger="1" containsMixedTypes="1" count="36">
        <n v="11775"/>
        <s v="2024-005"/>
        <s v="FAC24-012"/>
        <s v="FAC24-015"/>
        <s v="FAC24-024"/>
        <s v="2023-051"/>
        <s v="FAC24-02"/>
        <s v="FAC24-010"/>
        <s v="2023-053"/>
        <s v="2023-062"/>
        <s v="2024-003"/>
        <s v="FAC24-013"/>
        <s v="FAC24-016"/>
        <s v="FAC24-017"/>
        <s v="FAC24-018"/>
        <s v="2023-057"/>
        <s v="FAC24-022"/>
        <s v="Fac25-07"/>
        <s v="Fac25-10"/>
        <s v="Fac25-12"/>
        <s v="Fac25-11"/>
        <s v="FAC25-32"/>
        <s v="FAC25-36"/>
        <s v="FAC25-37"/>
        <s v="FAC25-13BIS"/>
        <s v="FAC25-02"/>
        <s v="FAC25-29"/>
        <s v="FAC25-38"/>
        <m/>
        <s v="FAC25-34"/>
        <s v="FAC25-33"/>
        <s v="FAC25-14BIS"/>
        <s v="FAC25-35"/>
        <s v="FAC25-04"/>
        <s v="FAC25-27"/>
        <s v="FAC-25-28"/>
      </sharedItems>
    </cacheField>
    <cacheField name="Date" numFmtId="58">
      <sharedItems containsSemiMixedTypes="0" containsString="0" containsNonDate="0" containsDate="1" minDate="2023-08-11T00:00:00" maxDate="2025-12-16T00:00:00" count="45">
        <d v="2023-08-11T00:00:00"/>
        <d v="2024-01-25T00:00:00"/>
        <d v="2024-05-15T00:00:00"/>
        <d v="2024-06-12T00:00:00"/>
        <d v="2024-12-10T00:00:00"/>
        <d v="2023-12-19T00:00:00"/>
        <d v="2024-03-08T00:00:00"/>
        <d v="2024-03-07T00:00:00"/>
        <d v="2023-12-22T00:00:00"/>
        <d v="2023-12-28T00:00:00"/>
        <d v="2024-01-31T00:00:00"/>
        <d v="2025-05-28T00:00:00"/>
        <d v="2024-07-01T00:00:00"/>
        <d v="2024-07-30T00:00:00"/>
        <d v="2024-09-06T00:00:00"/>
        <d v="2023-12-26T00:00:00"/>
        <d v="2024-11-13T00:00:00"/>
        <d v="2025-02-10T00:00:00"/>
        <d v="2025-03-05T00:00:00"/>
        <d v="2025-03-27T00:00:00"/>
        <d v="2025-03-06T00:00:00"/>
        <d v="2025-11-26T00:00:00"/>
        <d v="2025-12-15T00:00:00"/>
        <d v="2025-04-11T00:00:00"/>
        <d v="2025-01-03T00:00:00"/>
        <d v="2025-11-18T00:00:00"/>
        <d v="2025-12-16T00:00:00"/>
        <d v="2025-01-02T00:00:00"/>
        <d v="2025-02-03T00:00:00"/>
        <d v="2025-03-02T00:00:00"/>
        <d v="2025-04-03T00:00:00"/>
        <d v="2025-04-30T00:00:00"/>
        <d v="2025-05-29T00:00:00"/>
        <d v="2025-07-01T00:00:00"/>
        <d v="2025-08-19T00:00:00"/>
        <d v="2025-09-11T00:00:00"/>
        <d v="2025-10-14T00:00:00"/>
        <d v="2025-11-21T00:00:00"/>
        <d v="2025-12-12T00:00:00"/>
        <d v="2025-01-06T00:00:00"/>
        <d v="2025-12-10T00:00:00"/>
        <d v="2025-04-15T00:00:00"/>
        <d v="2025-01-16T00:00:00"/>
        <d v="2025-10-17T00:00:00"/>
        <d v="2025-11-17T00:00:00"/>
      </sharedItems>
    </cacheField>
    <cacheField name="Montant" numFmtId="0"/>
    <cacheField name="Mois (Date)" numFmtId="0" databaseField="0">
      <fieldGroup base="2">
        <rangePr groupBy="months" startDate="2023-08-11T00:00:00" endDate="2025-12-17T00:00:00" groupInterval="1"/>
        <groupItems count="14">
          <s v="&lt;11/08/2023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7/12/2025"/>
        </groupItems>
      </fieldGroup>
    </cacheField>
    <cacheField name="Trimestres (Date)" numFmtId="0" databaseField="0">
      <fieldGroup base="2">
        <rangePr groupBy="quarters" startDate="2023-08-11T00:00:00" endDate="2025-12-17T00:00:00" groupInterval="1"/>
        <groupItems count="6">
          <s v="&lt;11/08/2023"/>
          <s v="Trimestre1"/>
          <s v="Trimestre2"/>
          <s v="Trimestre3"/>
          <s v="Trimestre4"/>
          <s v="&gt;17/12/2025"/>
        </groupItems>
      </fieldGroup>
    </cacheField>
    <cacheField name="Années (Date)" numFmtId="0" databaseField="0">
      <fieldGroup base="2">
        <rangePr groupBy="years" startDate="2023-08-11T00:00:00" endDate="2025-12-17T00:00:00" groupInterval="1"/>
        <groupItems count="5">
          <s v="&lt;11/08/2023"/>
          <s v="2023"/>
          <s v="2024"/>
          <s v="2025"/>
          <s v="&gt;17/12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">
  <r>
    <x v="0"/>
    <x v="0"/>
    <x v="0"/>
    <n v="6050.42"/>
  </r>
  <r>
    <x v="0"/>
    <x v="1"/>
    <x v="1"/>
    <n v="1700"/>
  </r>
  <r>
    <x v="0"/>
    <x v="2"/>
    <x v="2"/>
    <n v="845"/>
  </r>
  <r>
    <x v="0"/>
    <x v="3"/>
    <x v="3"/>
    <n v="4150"/>
  </r>
  <r>
    <x v="0"/>
    <x v="4"/>
    <x v="4"/>
    <n v="26784"/>
  </r>
  <r>
    <x v="1"/>
    <x v="5"/>
    <x v="5"/>
    <n v="5100"/>
  </r>
  <r>
    <x v="2"/>
    <x v="6"/>
    <x v="6"/>
    <n v="51480"/>
  </r>
  <r>
    <x v="3"/>
    <x v="7"/>
    <x v="7"/>
    <n v="1830.4"/>
  </r>
  <r>
    <x v="4"/>
    <x v="8"/>
    <x v="8"/>
    <n v="7470"/>
  </r>
  <r>
    <x v="5"/>
    <x v="9"/>
    <x v="9"/>
    <n v="800"/>
  </r>
  <r>
    <x v="5"/>
    <x v="10"/>
    <x v="10"/>
    <n v="751"/>
  </r>
  <r>
    <x v="5"/>
    <x v="11"/>
    <x v="11"/>
    <n v="727"/>
  </r>
  <r>
    <x v="5"/>
    <x v="12"/>
    <x v="12"/>
    <n v="544"/>
  </r>
  <r>
    <x v="5"/>
    <x v="13"/>
    <x v="13"/>
    <n v="744"/>
  </r>
  <r>
    <x v="5"/>
    <x v="14"/>
    <x v="14"/>
    <n v="544"/>
  </r>
  <r>
    <x v="6"/>
    <x v="15"/>
    <x v="15"/>
    <n v="5460"/>
  </r>
  <r>
    <x v="7"/>
    <x v="16"/>
    <x v="16"/>
    <n v="19500"/>
  </r>
  <r>
    <x v="2"/>
    <x v="17"/>
    <x v="17"/>
    <n v="17407.5"/>
  </r>
  <r>
    <x v="2"/>
    <x v="18"/>
    <x v="18"/>
    <n v="11605"/>
  </r>
  <r>
    <x v="2"/>
    <x v="19"/>
    <x v="19"/>
    <n v="29012"/>
  </r>
  <r>
    <x v="3"/>
    <x v="20"/>
    <x v="20"/>
    <n v="2194.5"/>
  </r>
  <r>
    <x v="8"/>
    <x v="21"/>
    <x v="21"/>
    <n v="3737.5"/>
  </r>
  <r>
    <x v="8"/>
    <x v="22"/>
    <x v="22"/>
    <n v="300"/>
  </r>
  <r>
    <x v="8"/>
    <x v="23"/>
    <x v="22"/>
    <n v="3737.5"/>
  </r>
  <r>
    <x v="9"/>
    <x v="24"/>
    <x v="23"/>
    <n v="224.34"/>
  </r>
  <r>
    <x v="10"/>
    <x v="25"/>
    <x v="24"/>
    <n v="50000"/>
  </r>
  <r>
    <x v="11"/>
    <x v="26"/>
    <x v="25"/>
    <n v="1785"/>
  </r>
  <r>
    <x v="12"/>
    <x v="27"/>
    <x v="26"/>
    <n v="1720"/>
  </r>
  <r>
    <x v="5"/>
    <x v="28"/>
    <x v="27"/>
    <n v="352"/>
  </r>
  <r>
    <x v="5"/>
    <x v="28"/>
    <x v="28"/>
    <n v="416"/>
  </r>
  <r>
    <x v="5"/>
    <x v="28"/>
    <x v="29"/>
    <n v="527"/>
  </r>
  <r>
    <x v="5"/>
    <x v="28"/>
    <x v="30"/>
    <n v="352"/>
  </r>
  <r>
    <x v="5"/>
    <x v="28"/>
    <x v="31"/>
    <n v="576"/>
  </r>
  <r>
    <x v="5"/>
    <x v="28"/>
    <x v="32"/>
    <n v="276"/>
  </r>
  <r>
    <x v="5"/>
    <x v="28"/>
    <x v="33"/>
    <n v="384"/>
  </r>
  <r>
    <x v="5"/>
    <x v="28"/>
    <x v="34"/>
    <n v="320"/>
  </r>
  <r>
    <x v="5"/>
    <x v="28"/>
    <x v="35"/>
    <n v="484"/>
  </r>
  <r>
    <x v="5"/>
    <x v="28"/>
    <x v="36"/>
    <n v="224"/>
  </r>
  <r>
    <x v="5"/>
    <x v="28"/>
    <x v="37"/>
    <n v="352"/>
  </r>
  <r>
    <x v="13"/>
    <x v="29"/>
    <x v="38"/>
    <n v="605"/>
  </r>
  <r>
    <x v="14"/>
    <x v="28"/>
    <x v="39"/>
    <n v="160"/>
  </r>
  <r>
    <x v="14"/>
    <x v="28"/>
    <x v="28"/>
    <n v="160"/>
  </r>
  <r>
    <x v="14"/>
    <x v="28"/>
    <x v="29"/>
    <n v="224"/>
  </r>
  <r>
    <x v="14"/>
    <x v="28"/>
    <x v="30"/>
    <n v="256"/>
  </r>
  <r>
    <x v="14"/>
    <x v="28"/>
    <x v="31"/>
    <n v="303"/>
  </r>
  <r>
    <x v="14"/>
    <x v="28"/>
    <x v="32"/>
    <n v="224"/>
  </r>
  <r>
    <x v="14"/>
    <x v="28"/>
    <x v="33"/>
    <n v="192"/>
  </r>
  <r>
    <x v="14"/>
    <x v="28"/>
    <x v="34"/>
    <n v="32"/>
  </r>
  <r>
    <x v="14"/>
    <x v="28"/>
    <x v="35"/>
    <n v="128"/>
  </r>
  <r>
    <x v="14"/>
    <x v="28"/>
    <x v="36"/>
    <n v="96"/>
  </r>
  <r>
    <x v="14"/>
    <x v="28"/>
    <x v="37"/>
    <n v="96"/>
  </r>
  <r>
    <x v="15"/>
    <x v="30"/>
    <x v="40"/>
    <n v="470"/>
  </r>
  <r>
    <x v="16"/>
    <x v="31"/>
    <x v="41"/>
    <n v="150"/>
  </r>
  <r>
    <x v="7"/>
    <x v="32"/>
    <x v="22"/>
    <n v="17167.5"/>
  </r>
  <r>
    <x v="0"/>
    <x v="33"/>
    <x v="42"/>
    <n v="186"/>
  </r>
  <r>
    <x v="0"/>
    <x v="34"/>
    <x v="43"/>
    <n v="200"/>
  </r>
  <r>
    <x v="0"/>
    <x v="35"/>
    <x v="44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0" autoFormatId="1" applyNumberFormats="0" applyBorderFormats="0" applyFontFormats="0" applyPatternFormats="0" applyAlignmentFormats="0" applyWidthHeightFormats="1" dataCaption="Valeurs" updatedVersion="8" minRefreshableVersion="3" createdVersion="8" useAutoFormatting="1" indent="0" outline="1" outlineData="1" showDrill="1" multipleFieldFilters="0">
  <location ref="A3:CN60" firstHeaderRow="1" firstDataRow="3" firstDataCol="1"/>
  <pivotFields count="7">
    <pivotField axis="axisRow" showAll="0">
      <items count="18">
        <item x="2"/>
        <item x="3"/>
        <item x="8"/>
        <item x="4"/>
        <item x="9"/>
        <item x="10"/>
        <item x="11"/>
        <item x="12"/>
        <item x="5"/>
        <item x="13"/>
        <item x="6"/>
        <item x="14"/>
        <item x="1"/>
        <item x="15"/>
        <item x="16"/>
        <item x="7"/>
        <item x="0"/>
        <item t="default"/>
      </items>
    </pivotField>
    <pivotField axis="axisRow" showAll="0">
      <items count="37">
        <item x="0"/>
        <item x="5"/>
        <item x="8"/>
        <item x="15"/>
        <item x="9"/>
        <item x="10"/>
        <item x="1"/>
        <item x="7"/>
        <item x="2"/>
        <item x="11"/>
        <item x="3"/>
        <item x="12"/>
        <item x="13"/>
        <item x="14"/>
        <item x="6"/>
        <item x="16"/>
        <item x="4"/>
        <item x="25"/>
        <item x="33"/>
        <item x="17"/>
        <item x="18"/>
        <item x="20"/>
        <item x="19"/>
        <item x="24"/>
        <item x="31"/>
        <item x="34"/>
        <item x="35"/>
        <item x="26"/>
        <item x="21"/>
        <item x="30"/>
        <item x="29"/>
        <item x="32"/>
        <item x="22"/>
        <item x="23"/>
        <item x="27"/>
        <item x="28"/>
        <item t="default"/>
      </items>
    </pivotField>
    <pivotField axis="axisCol" numFmtId="58" showAll="0">
      <items count="46">
        <item x="0"/>
        <item x="5"/>
        <item x="8"/>
        <item x="15"/>
        <item x="9"/>
        <item x="1"/>
        <item x="10"/>
        <item x="7"/>
        <item x="6"/>
        <item x="2"/>
        <item x="3"/>
        <item x="12"/>
        <item x="13"/>
        <item x="14"/>
        <item x="16"/>
        <item x="4"/>
        <item x="27"/>
        <item x="24"/>
        <item x="39"/>
        <item x="42"/>
        <item x="28"/>
        <item x="17"/>
        <item x="29"/>
        <item x="18"/>
        <item x="20"/>
        <item x="19"/>
        <item x="30"/>
        <item x="23"/>
        <item x="41"/>
        <item x="31"/>
        <item x="11"/>
        <item x="32"/>
        <item x="33"/>
        <item x="34"/>
        <item x="35"/>
        <item x="36"/>
        <item x="43"/>
        <item x="44"/>
        <item x="25"/>
        <item x="37"/>
        <item x="21"/>
        <item x="40"/>
        <item x="38"/>
        <item x="22"/>
        <item x="26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x="1"/>
        <item sd="0" x="2"/>
        <item sd="0" x="3"/>
        <item sd="0" x="4"/>
        <item t="default"/>
      </items>
    </pivotField>
  </pivotFields>
  <rowFields count="2">
    <field x="0"/>
    <field x="1"/>
  </rowFields>
  <rowItems count="55">
    <i>
      <x/>
    </i>
    <i r="1">
      <x v="14"/>
    </i>
    <i r="1">
      <x v="19"/>
    </i>
    <i r="1">
      <x v="20"/>
    </i>
    <i r="1">
      <x v="22"/>
    </i>
    <i>
      <x v="1"/>
    </i>
    <i r="1">
      <x v="7"/>
    </i>
    <i r="1">
      <x v="21"/>
    </i>
    <i>
      <x v="2"/>
    </i>
    <i r="1">
      <x v="28"/>
    </i>
    <i r="1">
      <x v="32"/>
    </i>
    <i r="1">
      <x v="33"/>
    </i>
    <i>
      <x v="3"/>
    </i>
    <i r="1">
      <x v="2"/>
    </i>
    <i>
      <x v="4"/>
    </i>
    <i r="1">
      <x v="23"/>
    </i>
    <i>
      <x v="5"/>
    </i>
    <i r="1">
      <x v="17"/>
    </i>
    <i>
      <x v="6"/>
    </i>
    <i r="1">
      <x v="27"/>
    </i>
    <i>
      <x v="7"/>
    </i>
    <i r="1">
      <x v="34"/>
    </i>
    <i>
      <x v="8"/>
    </i>
    <i r="1">
      <x v="4"/>
    </i>
    <i r="1">
      <x v="5"/>
    </i>
    <i r="1">
      <x v="9"/>
    </i>
    <i r="1">
      <x v="11"/>
    </i>
    <i r="1">
      <x v="12"/>
    </i>
    <i r="1">
      <x v="13"/>
    </i>
    <i r="1">
      <x v="35"/>
    </i>
    <i>
      <x v="9"/>
    </i>
    <i r="1">
      <x v="30"/>
    </i>
    <i>
      <x v="10"/>
    </i>
    <i r="1">
      <x v="3"/>
    </i>
    <i>
      <x v="11"/>
    </i>
    <i r="1">
      <x v="35"/>
    </i>
    <i>
      <x v="12"/>
    </i>
    <i r="1">
      <x v="1"/>
    </i>
    <i>
      <x v="13"/>
    </i>
    <i r="1">
      <x v="29"/>
    </i>
    <i>
      <x v="14"/>
    </i>
    <i r="1">
      <x v="24"/>
    </i>
    <i>
      <x v="15"/>
    </i>
    <i r="1">
      <x v="15"/>
    </i>
    <i r="1">
      <x v="31"/>
    </i>
    <i>
      <x v="16"/>
    </i>
    <i r="1">
      <x/>
    </i>
    <i r="1">
      <x v="6"/>
    </i>
    <i r="1">
      <x v="8"/>
    </i>
    <i r="1">
      <x v="10"/>
    </i>
    <i r="1">
      <x v="16"/>
    </i>
    <i r="1">
      <x v="18"/>
    </i>
    <i r="1">
      <x v="25"/>
    </i>
    <i r="1">
      <x v="26"/>
    </i>
    <i t="grand">
      <x/>
    </i>
  </rowItems>
  <colFields count="2">
    <field x="2"/>
    <field x="6"/>
  </colFields>
  <colItems count="91">
    <i>
      <x/>
      <x v="1"/>
    </i>
    <i t="default">
      <x/>
    </i>
    <i>
      <x v="1"/>
      <x v="1"/>
    </i>
    <i t="default">
      <x v="1"/>
    </i>
    <i>
      <x v="2"/>
      <x v="1"/>
    </i>
    <i t="default">
      <x v="2"/>
    </i>
    <i>
      <x v="3"/>
      <x v="1"/>
    </i>
    <i t="default">
      <x v="3"/>
    </i>
    <i>
      <x v="4"/>
      <x v="1"/>
    </i>
    <i t="default">
      <x v="4"/>
    </i>
    <i>
      <x v="5"/>
      <x v="2"/>
    </i>
    <i t="default">
      <x v="5"/>
    </i>
    <i>
      <x v="6"/>
      <x v="2"/>
    </i>
    <i t="default">
      <x v="6"/>
    </i>
    <i>
      <x v="7"/>
      <x v="2"/>
    </i>
    <i t="default">
      <x v="7"/>
    </i>
    <i>
      <x v="8"/>
      <x v="2"/>
    </i>
    <i t="default">
      <x v="8"/>
    </i>
    <i>
      <x v="9"/>
      <x v="2"/>
    </i>
    <i t="default">
      <x v="9"/>
    </i>
    <i>
      <x v="10"/>
      <x v="2"/>
    </i>
    <i t="default">
      <x v="10"/>
    </i>
    <i>
      <x v="11"/>
      <x v="2"/>
    </i>
    <i t="default">
      <x v="11"/>
    </i>
    <i>
      <x v="12"/>
      <x v="2"/>
    </i>
    <i t="default">
      <x v="12"/>
    </i>
    <i>
      <x v="13"/>
      <x v="2"/>
    </i>
    <i t="default">
      <x v="13"/>
    </i>
    <i>
      <x v="14"/>
      <x v="2"/>
    </i>
    <i t="default">
      <x v="14"/>
    </i>
    <i>
      <x v="15"/>
      <x v="2"/>
    </i>
    <i t="default">
      <x v="15"/>
    </i>
    <i>
      <x v="16"/>
      <x v="3"/>
    </i>
    <i t="default">
      <x v="16"/>
    </i>
    <i>
      <x v="17"/>
      <x v="3"/>
    </i>
    <i t="default">
      <x v="17"/>
    </i>
    <i>
      <x v="18"/>
      <x v="3"/>
    </i>
    <i t="default">
      <x v="18"/>
    </i>
    <i>
      <x v="19"/>
      <x v="3"/>
    </i>
    <i t="default">
      <x v="19"/>
    </i>
    <i>
      <x v="20"/>
      <x v="3"/>
    </i>
    <i t="default">
      <x v="20"/>
    </i>
    <i>
      <x v="21"/>
      <x v="3"/>
    </i>
    <i t="default">
      <x v="21"/>
    </i>
    <i>
      <x v="22"/>
      <x v="3"/>
    </i>
    <i t="default">
      <x v="22"/>
    </i>
    <i>
      <x v="23"/>
      <x v="3"/>
    </i>
    <i t="default">
      <x v="23"/>
    </i>
    <i>
      <x v="24"/>
      <x v="3"/>
    </i>
    <i t="default">
      <x v="24"/>
    </i>
    <i>
      <x v="25"/>
      <x v="3"/>
    </i>
    <i t="default">
      <x v="25"/>
    </i>
    <i>
      <x v="26"/>
      <x v="3"/>
    </i>
    <i t="default">
      <x v="26"/>
    </i>
    <i>
      <x v="27"/>
      <x v="3"/>
    </i>
    <i t="default">
      <x v="27"/>
    </i>
    <i>
      <x v="28"/>
      <x v="3"/>
    </i>
    <i t="default">
      <x v="28"/>
    </i>
    <i>
      <x v="29"/>
      <x v="3"/>
    </i>
    <i t="default">
      <x v="29"/>
    </i>
    <i>
      <x v="30"/>
      <x v="3"/>
    </i>
    <i t="default">
      <x v="30"/>
    </i>
    <i>
      <x v="31"/>
      <x v="3"/>
    </i>
    <i t="default">
      <x v="31"/>
    </i>
    <i>
      <x v="32"/>
      <x v="3"/>
    </i>
    <i t="default">
      <x v="32"/>
    </i>
    <i>
      <x v="33"/>
      <x v="3"/>
    </i>
    <i t="default">
      <x v="33"/>
    </i>
    <i>
      <x v="34"/>
      <x v="3"/>
    </i>
    <i t="default">
      <x v="34"/>
    </i>
    <i>
      <x v="35"/>
      <x v="3"/>
    </i>
    <i t="default">
      <x v="35"/>
    </i>
    <i>
      <x v="36"/>
      <x v="3"/>
    </i>
    <i t="default">
      <x v="36"/>
    </i>
    <i>
      <x v="37"/>
      <x v="3"/>
    </i>
    <i t="default">
      <x v="37"/>
    </i>
    <i>
      <x v="38"/>
      <x v="3"/>
    </i>
    <i t="default">
      <x v="38"/>
    </i>
    <i>
      <x v="39"/>
      <x v="3"/>
    </i>
    <i t="default">
      <x v="39"/>
    </i>
    <i>
      <x v="40"/>
      <x v="3"/>
    </i>
    <i t="default">
      <x v="40"/>
    </i>
    <i>
      <x v="41"/>
      <x v="3"/>
    </i>
    <i t="default">
      <x v="41"/>
    </i>
    <i>
      <x v="42"/>
      <x v="3"/>
    </i>
    <i t="default">
      <x v="42"/>
    </i>
    <i>
      <x v="43"/>
      <x v="3"/>
    </i>
    <i t="default">
      <x v="43"/>
    </i>
    <i>
      <x v="44"/>
      <x v="3"/>
    </i>
    <i t="default">
      <x v="44"/>
    </i>
    <i t="grand">
      <x/>
    </i>
  </colItems>
  <dataFields count="1">
    <dataField name="Somme de Monta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au1" displayName="Tableau1" ref="A1:D2" totalsRowShown="0">
  <autoFilter xmlns:etc="http://www.wps.cn/officeDocument/2017/etCustomData" ref="A1:D2" etc:filterBottomFollowUsedRange="0"/>
  <tableColumns count="4">
    <tableColumn id="1" name="Client"/>
    <tableColumn id="2" name="Facture"/>
    <tableColumn id="3" name="Date" dataDxfId="0"/>
    <tableColumn id="4" name="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D2" totalsRowShown="0">
  <autoFilter xmlns:etc="http://www.wps.cn/officeDocument/2017/etCustomData" ref="A1:D2" etc:filterBottomFollowUsedRange="0"/>
  <tableColumns count="4">
    <tableColumn id="1" name="Client"/>
    <tableColumn id="2" name="Facture"/>
    <tableColumn id="3" name="Date" dataDxfId="1"/>
    <tableColumn id="4" name="Mont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2"/>
  <sheetViews>
    <sheetView tabSelected="1" topLeftCell="A34" workbookViewId="0">
      <selection activeCell="F51" sqref="F51"/>
    </sheetView>
  </sheetViews>
  <sheetFormatPr defaultColWidth="11" defaultRowHeight="15" outlineLevelCol="4"/>
  <cols>
    <col min="1" max="1" width="29.8571428571429" customWidth="1"/>
    <col min="2" max="2" width="12.7142857142857" customWidth="1"/>
    <col min="3" max="3" width="24.8571428571429" customWidth="1"/>
    <col min="4" max="4" width="13.4285714285714" customWidth="1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9" t="s">
        <v>4</v>
      </c>
      <c r="B2" s="9">
        <v>11775</v>
      </c>
      <c r="C2" s="12">
        <v>45149</v>
      </c>
      <c r="D2" s="9">
        <v>6050.42</v>
      </c>
    </row>
    <row r="3" spans="1:4">
      <c r="A3" s="9" t="s">
        <v>4</v>
      </c>
      <c r="B3" s="9" t="s">
        <v>5</v>
      </c>
      <c r="C3" s="12">
        <v>45316</v>
      </c>
      <c r="D3" s="9">
        <v>1700</v>
      </c>
    </row>
    <row r="4" spans="1:4">
      <c r="A4" s="13" t="s">
        <v>4</v>
      </c>
      <c r="B4" s="9" t="s">
        <v>6</v>
      </c>
      <c r="C4" s="12">
        <v>45427</v>
      </c>
      <c r="D4" s="9">
        <v>845</v>
      </c>
    </row>
    <row r="5" spans="1:4">
      <c r="A5" s="13" t="s">
        <v>4</v>
      </c>
      <c r="B5" s="9" t="s">
        <v>7</v>
      </c>
      <c r="C5" s="12">
        <v>45455</v>
      </c>
      <c r="D5" s="9">
        <v>4150</v>
      </c>
    </row>
    <row r="6" spans="1:4">
      <c r="A6" s="13" t="s">
        <v>4</v>
      </c>
      <c r="B6" s="9" t="s">
        <v>8</v>
      </c>
      <c r="C6" s="12">
        <v>45636</v>
      </c>
      <c r="D6" s="9">
        <v>26784</v>
      </c>
    </row>
    <row r="7" spans="1:4">
      <c r="A7" s="13" t="s">
        <v>9</v>
      </c>
      <c r="B7" s="9" t="s">
        <v>10</v>
      </c>
      <c r="C7" s="12">
        <v>45279</v>
      </c>
      <c r="D7" s="9">
        <v>5100</v>
      </c>
    </row>
    <row r="8" spans="1:4">
      <c r="A8" s="9" t="s">
        <v>11</v>
      </c>
      <c r="B8" s="9" t="s">
        <v>12</v>
      </c>
      <c r="C8" s="12">
        <v>45359</v>
      </c>
      <c r="D8" s="9">
        <f>36036+15444</f>
        <v>51480</v>
      </c>
    </row>
    <row r="9" spans="1:4">
      <c r="A9" s="9" t="s">
        <v>13</v>
      </c>
      <c r="B9" s="9" t="s">
        <v>14</v>
      </c>
      <c r="C9" s="12">
        <v>45358</v>
      </c>
      <c r="D9" s="9">
        <v>1830.4</v>
      </c>
    </row>
    <row r="10" spans="1:4">
      <c r="A10" s="13" t="s">
        <v>15</v>
      </c>
      <c r="B10" s="9" t="s">
        <v>16</v>
      </c>
      <c r="C10" s="12">
        <v>45282</v>
      </c>
      <c r="D10" s="9">
        <v>7470</v>
      </c>
    </row>
    <row r="11" spans="1:4">
      <c r="A11" s="9" t="s">
        <v>17</v>
      </c>
      <c r="B11" s="9" t="s">
        <v>18</v>
      </c>
      <c r="C11" s="12">
        <v>45288</v>
      </c>
      <c r="D11" s="9">
        <v>800</v>
      </c>
    </row>
    <row r="12" spans="1:5">
      <c r="A12" s="9" t="s">
        <v>17</v>
      </c>
      <c r="B12" s="9" t="s">
        <v>19</v>
      </c>
      <c r="C12" s="12">
        <v>45322</v>
      </c>
      <c r="D12" s="9">
        <v>751</v>
      </c>
      <c r="E12" s="3"/>
    </row>
    <row r="13" spans="1:4">
      <c r="A13" s="13" t="s">
        <v>17</v>
      </c>
      <c r="B13" s="9" t="s">
        <v>20</v>
      </c>
      <c r="C13" s="12">
        <v>45805</v>
      </c>
      <c r="D13" s="9">
        <v>727</v>
      </c>
    </row>
    <row r="14" spans="1:4">
      <c r="A14" s="13" t="s">
        <v>17</v>
      </c>
      <c r="B14" s="9" t="s">
        <v>21</v>
      </c>
      <c r="C14" s="12">
        <v>45474</v>
      </c>
      <c r="D14" s="9">
        <v>544</v>
      </c>
    </row>
    <row r="15" spans="1:4">
      <c r="A15" s="13" t="s">
        <v>17</v>
      </c>
      <c r="B15" s="9" t="s">
        <v>22</v>
      </c>
      <c r="C15" s="12">
        <v>45503</v>
      </c>
      <c r="D15" s="9">
        <v>744</v>
      </c>
    </row>
    <row r="16" spans="1:4">
      <c r="A16" s="13" t="s">
        <v>17</v>
      </c>
      <c r="B16" s="9" t="s">
        <v>23</v>
      </c>
      <c r="C16" s="12">
        <v>45541</v>
      </c>
      <c r="D16" s="9">
        <v>544</v>
      </c>
    </row>
    <row r="17" spans="1:4">
      <c r="A17" s="13" t="s">
        <v>24</v>
      </c>
      <c r="B17" s="9" t="s">
        <v>25</v>
      </c>
      <c r="C17" s="12">
        <v>45286</v>
      </c>
      <c r="D17" s="9">
        <v>5460</v>
      </c>
    </row>
    <row r="18" spans="1:4">
      <c r="A18" s="13" t="s">
        <v>26</v>
      </c>
      <c r="B18" s="9" t="s">
        <v>27</v>
      </c>
      <c r="C18" s="12">
        <v>45609</v>
      </c>
      <c r="D18" s="9">
        <v>19500</v>
      </c>
    </row>
    <row r="19" spans="1:4">
      <c r="A19" s="13" t="s">
        <v>11</v>
      </c>
      <c r="B19" s="9" t="s">
        <v>28</v>
      </c>
      <c r="C19" s="12">
        <v>45698</v>
      </c>
      <c r="D19" s="9">
        <v>17407.5</v>
      </c>
    </row>
    <row r="20" spans="1:4">
      <c r="A20" s="13" t="s">
        <v>11</v>
      </c>
      <c r="B20" s="9" t="s">
        <v>29</v>
      </c>
      <c r="C20" s="12">
        <v>45721</v>
      </c>
      <c r="D20" s="9">
        <v>11605</v>
      </c>
    </row>
    <row r="21" spans="1:4">
      <c r="A21" s="13" t="s">
        <v>11</v>
      </c>
      <c r="B21" s="9" t="s">
        <v>30</v>
      </c>
      <c r="C21" s="12">
        <v>45743</v>
      </c>
      <c r="D21" s="9">
        <v>29012</v>
      </c>
    </row>
    <row r="22" spans="1:4">
      <c r="A22" s="13" t="s">
        <v>13</v>
      </c>
      <c r="B22" s="9" t="s">
        <v>31</v>
      </c>
      <c r="C22" s="12">
        <v>45722</v>
      </c>
      <c r="D22" s="9">
        <v>2194.5</v>
      </c>
    </row>
    <row r="23" spans="1:4">
      <c r="A23" s="13" t="s">
        <v>32</v>
      </c>
      <c r="B23" s="9" t="s">
        <v>33</v>
      </c>
      <c r="C23" s="12">
        <v>45987</v>
      </c>
      <c r="D23" s="9">
        <f>7475/2</f>
        <v>3737.5</v>
      </c>
    </row>
    <row r="24" spans="1:4">
      <c r="A24" s="13" t="s">
        <v>32</v>
      </c>
      <c r="B24" s="9" t="s">
        <v>34</v>
      </c>
      <c r="C24" s="12">
        <v>46006</v>
      </c>
      <c r="D24" s="9">
        <v>300</v>
      </c>
    </row>
    <row r="25" spans="1:4">
      <c r="A25" s="13" t="s">
        <v>32</v>
      </c>
      <c r="B25" s="9" t="s">
        <v>35</v>
      </c>
      <c r="C25" s="12">
        <v>46006</v>
      </c>
      <c r="D25" s="9">
        <f>7475/2</f>
        <v>3737.5</v>
      </c>
    </row>
    <row r="26" spans="1:4">
      <c r="A26" s="13" t="s">
        <v>36</v>
      </c>
      <c r="B26" s="9" t="s">
        <v>37</v>
      </c>
      <c r="C26" s="12">
        <v>45758</v>
      </c>
      <c r="D26" s="9">
        <v>224.34</v>
      </c>
    </row>
    <row r="27" spans="1:4">
      <c r="A27" s="13" t="s">
        <v>38</v>
      </c>
      <c r="B27" s="9" t="s">
        <v>39</v>
      </c>
      <c r="C27" s="12">
        <v>45660</v>
      </c>
      <c r="D27" s="9">
        <v>50000</v>
      </c>
    </row>
    <row r="28" spans="1:4">
      <c r="A28" s="13" t="s">
        <v>40</v>
      </c>
      <c r="B28" s="9" t="s">
        <v>41</v>
      </c>
      <c r="C28" s="12">
        <v>45979</v>
      </c>
      <c r="D28" s="9">
        <v>1785</v>
      </c>
    </row>
    <row r="29" spans="1:4">
      <c r="A29" s="13" t="s">
        <v>42</v>
      </c>
      <c r="B29" s="9" t="s">
        <v>43</v>
      </c>
      <c r="C29" s="12">
        <v>46007</v>
      </c>
      <c r="D29" s="9">
        <v>1720</v>
      </c>
    </row>
    <row r="30" spans="1:4">
      <c r="A30" s="14" t="s">
        <v>17</v>
      </c>
      <c r="B30" s="9"/>
      <c r="C30" s="12">
        <v>45659</v>
      </c>
      <c r="D30" s="9">
        <v>352</v>
      </c>
    </row>
    <row r="31" spans="1:4">
      <c r="A31" s="14" t="s">
        <v>17</v>
      </c>
      <c r="B31" s="9"/>
      <c r="C31" s="12">
        <v>45691</v>
      </c>
      <c r="D31" s="9">
        <v>416</v>
      </c>
    </row>
    <row r="32" spans="1:4">
      <c r="A32" s="14" t="s">
        <v>17</v>
      </c>
      <c r="B32" s="9"/>
      <c r="C32" s="12">
        <v>45718</v>
      </c>
      <c r="D32" s="9">
        <v>527</v>
      </c>
    </row>
    <row r="33" spans="1:4">
      <c r="A33" s="14" t="s">
        <v>17</v>
      </c>
      <c r="B33" s="9"/>
      <c r="C33" s="12">
        <v>45750</v>
      </c>
      <c r="D33" s="9">
        <v>352</v>
      </c>
    </row>
    <row r="34" spans="1:4">
      <c r="A34" s="14" t="s">
        <v>17</v>
      </c>
      <c r="B34" s="9"/>
      <c r="C34" s="12">
        <v>45777</v>
      </c>
      <c r="D34" s="9">
        <v>576</v>
      </c>
    </row>
    <row r="35" spans="1:4">
      <c r="A35" s="14" t="s">
        <v>17</v>
      </c>
      <c r="B35" s="9"/>
      <c r="C35" s="12">
        <v>45806</v>
      </c>
      <c r="D35" s="9">
        <v>276</v>
      </c>
    </row>
    <row r="36" spans="1:4">
      <c r="A36" s="14" t="s">
        <v>17</v>
      </c>
      <c r="B36" s="9"/>
      <c r="C36" s="12">
        <v>45839</v>
      </c>
      <c r="D36" s="9">
        <v>384</v>
      </c>
    </row>
    <row r="37" spans="1:4">
      <c r="A37" s="14" t="s">
        <v>17</v>
      </c>
      <c r="B37" s="9"/>
      <c r="C37" s="12">
        <v>45888</v>
      </c>
      <c r="D37" s="9">
        <v>320</v>
      </c>
    </row>
    <row r="38" spans="1:4">
      <c r="A38" s="14" t="s">
        <v>17</v>
      </c>
      <c r="B38" s="9"/>
      <c r="C38" s="12">
        <v>45911</v>
      </c>
      <c r="D38" s="9">
        <v>484</v>
      </c>
    </row>
    <row r="39" spans="1:4">
      <c r="A39" s="14" t="s">
        <v>17</v>
      </c>
      <c r="B39" s="9"/>
      <c r="C39" s="12">
        <v>45944</v>
      </c>
      <c r="D39" s="9">
        <v>224</v>
      </c>
    </row>
    <row r="40" spans="1:4">
      <c r="A40" s="14" t="s">
        <v>17</v>
      </c>
      <c r="B40" s="9"/>
      <c r="C40" s="12">
        <v>45982</v>
      </c>
      <c r="D40" s="9">
        <v>352</v>
      </c>
    </row>
    <row r="41" spans="1:4">
      <c r="A41" s="13" t="s">
        <v>44</v>
      </c>
      <c r="B41" s="9" t="s">
        <v>45</v>
      </c>
      <c r="C41" s="12">
        <v>46003</v>
      </c>
      <c r="D41" s="9">
        <v>605</v>
      </c>
    </row>
    <row r="42" spans="1:4">
      <c r="A42" s="13" t="s">
        <v>46</v>
      </c>
      <c r="B42" s="9"/>
      <c r="C42" s="12">
        <v>45663</v>
      </c>
      <c r="D42" s="9">
        <v>160</v>
      </c>
    </row>
    <row r="43" spans="1:4">
      <c r="A43" s="13" t="s">
        <v>46</v>
      </c>
      <c r="B43" s="9"/>
      <c r="C43" s="12">
        <v>45691</v>
      </c>
      <c r="D43" s="9">
        <v>160</v>
      </c>
    </row>
    <row r="44" spans="1:4">
      <c r="A44" s="13" t="s">
        <v>46</v>
      </c>
      <c r="B44" s="9"/>
      <c r="C44" s="12">
        <v>45718</v>
      </c>
      <c r="D44" s="9">
        <v>224</v>
      </c>
    </row>
    <row r="45" spans="1:4">
      <c r="A45" s="13" t="s">
        <v>46</v>
      </c>
      <c r="B45" s="9"/>
      <c r="C45" s="12">
        <v>45750</v>
      </c>
      <c r="D45" s="9">
        <v>256</v>
      </c>
    </row>
    <row r="46" spans="1:4">
      <c r="A46" s="13" t="s">
        <v>46</v>
      </c>
      <c r="B46" s="9"/>
      <c r="C46" s="12">
        <v>45777</v>
      </c>
      <c r="D46" s="9">
        <v>303</v>
      </c>
    </row>
    <row r="47" spans="1:4">
      <c r="A47" s="13" t="s">
        <v>46</v>
      </c>
      <c r="B47" s="9"/>
      <c r="C47" s="12">
        <v>45806</v>
      </c>
      <c r="D47" s="9">
        <v>224</v>
      </c>
    </row>
    <row r="48" spans="1:4">
      <c r="A48" s="13" t="s">
        <v>46</v>
      </c>
      <c r="B48" s="9"/>
      <c r="C48" s="12">
        <v>45839</v>
      </c>
      <c r="D48" s="9">
        <v>192</v>
      </c>
    </row>
    <row r="49" spans="1:4">
      <c r="A49" s="13" t="s">
        <v>46</v>
      </c>
      <c r="B49" s="9"/>
      <c r="C49" s="12">
        <v>45888</v>
      </c>
      <c r="D49" s="9">
        <v>32</v>
      </c>
    </row>
    <row r="50" spans="1:4">
      <c r="A50" s="13" t="s">
        <v>46</v>
      </c>
      <c r="B50" s="9"/>
      <c r="C50" s="12">
        <v>45911</v>
      </c>
      <c r="D50" s="9">
        <v>128</v>
      </c>
    </row>
    <row r="51" spans="1:4">
      <c r="A51" s="13" t="s">
        <v>46</v>
      </c>
      <c r="B51" s="9"/>
      <c r="C51" s="12">
        <v>45944</v>
      </c>
      <c r="D51" s="9">
        <v>96</v>
      </c>
    </row>
    <row r="52" spans="1:5">
      <c r="A52" s="13" t="s">
        <v>46</v>
      </c>
      <c r="B52" s="9"/>
      <c r="C52" s="12">
        <v>45982</v>
      </c>
      <c r="D52" s="9">
        <v>96</v>
      </c>
      <c r="E52" s="3"/>
    </row>
    <row r="53" spans="1:4">
      <c r="A53" s="13" t="s">
        <v>47</v>
      </c>
      <c r="B53" s="9" t="s">
        <v>48</v>
      </c>
      <c r="C53" s="12">
        <v>46001</v>
      </c>
      <c r="D53" s="9">
        <v>470</v>
      </c>
    </row>
    <row r="54" spans="1:4">
      <c r="A54" s="13" t="s">
        <v>49</v>
      </c>
      <c r="B54" s="9" t="s">
        <v>50</v>
      </c>
      <c r="C54" s="12">
        <v>45762</v>
      </c>
      <c r="D54" s="9">
        <v>150</v>
      </c>
    </row>
    <row r="55" spans="1:4">
      <c r="A55" s="13" t="s">
        <v>26</v>
      </c>
      <c r="B55" s="9" t="s">
        <v>51</v>
      </c>
      <c r="C55" s="12">
        <v>46006</v>
      </c>
      <c r="D55" s="9">
        <v>17167.5</v>
      </c>
    </row>
    <row r="56" spans="1:4">
      <c r="A56" s="13" t="s">
        <v>4</v>
      </c>
      <c r="B56" s="9" t="s">
        <v>52</v>
      </c>
      <c r="C56" s="12">
        <v>45673</v>
      </c>
      <c r="D56" s="9">
        <v>186</v>
      </c>
    </row>
    <row r="57" spans="1:4">
      <c r="A57" s="13" t="s">
        <v>4</v>
      </c>
      <c r="B57" s="9" t="s">
        <v>53</v>
      </c>
      <c r="C57" s="12">
        <v>45947</v>
      </c>
      <c r="D57" s="9">
        <v>200</v>
      </c>
    </row>
    <row r="58" spans="1:4">
      <c r="A58" s="13" t="s">
        <v>4</v>
      </c>
      <c r="B58" s="15" t="s">
        <v>54</v>
      </c>
      <c r="C58" s="16">
        <v>45978</v>
      </c>
      <c r="D58" s="15">
        <v>200</v>
      </c>
    </row>
    <row r="59" spans="1:4">
      <c r="A59" s="17" t="s">
        <v>55</v>
      </c>
      <c r="B59" s="18"/>
      <c r="C59" s="19">
        <v>45503</v>
      </c>
      <c r="D59" s="20">
        <v>2489</v>
      </c>
    </row>
    <row r="60" spans="1:4">
      <c r="A60" s="21" t="s">
        <v>17</v>
      </c>
      <c r="B60" s="17" t="s">
        <v>20</v>
      </c>
      <c r="C60" s="22">
        <v>45440</v>
      </c>
      <c r="D60" s="23">
        <v>727</v>
      </c>
    </row>
    <row r="61" spans="1:4">
      <c r="A61" s="21" t="s">
        <v>56</v>
      </c>
      <c r="B61" s="17" t="s">
        <v>57</v>
      </c>
      <c r="C61" s="22">
        <v>45455</v>
      </c>
      <c r="D61" s="23">
        <v>31</v>
      </c>
    </row>
    <row r="62" spans="1:4">
      <c r="A62" s="17" t="s">
        <v>58</v>
      </c>
      <c r="B62" s="17" t="s">
        <v>59</v>
      </c>
      <c r="C62" s="22">
        <v>45283</v>
      </c>
      <c r="D62" s="23">
        <v>693</v>
      </c>
    </row>
  </sheetData>
  <dataValidations count="1">
    <dataValidation type="custom" allowBlank="1" showInputMessage="1" showErrorMessage="1" errorTitle="Doublon" error="“Vous avez déjà saisie cette facture”" sqref="B59 B60 B61 B62 B7:B18">
      <formula1>COUNTIF($D$7:$D$526,$D7)=1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21"/>
  <sheetViews>
    <sheetView workbookViewId="0">
      <selection activeCell="B31" sqref="B31"/>
    </sheetView>
  </sheetViews>
  <sheetFormatPr defaultColWidth="11" defaultRowHeight="15" outlineLevelCol="3"/>
  <cols>
    <col min="1" max="1" width="29.8571428571429" style="5" customWidth="1"/>
    <col min="2" max="2" width="11.5714285714286" style="5" customWidth="1"/>
    <col min="3" max="3" width="20.5714285714286" style="5" customWidth="1"/>
    <col min="4" max="4" width="7.71428571428571" customWidth="1"/>
  </cols>
  <sheetData>
    <row r="1" spans="1:4">
      <c r="A1" s="6" t="s">
        <v>0</v>
      </c>
      <c r="B1" s="7" t="s">
        <v>60</v>
      </c>
      <c r="C1" s="7" t="s">
        <v>61</v>
      </c>
      <c r="D1" s="6" t="s">
        <v>62</v>
      </c>
    </row>
    <row r="2" spans="1:4">
      <c r="A2" s="8" t="s">
        <v>4</v>
      </c>
      <c r="B2" s="9">
        <f>SUMIF('Revenus B2B'!A:A,'Revenus par client'!A2,'Revenus B2B'!D:D)</f>
        <v>40115.42</v>
      </c>
      <c r="C2" s="8">
        <f>COUNTIF('Revenus B2B'!A:A,'Revenus par client'!A2)</f>
        <v>8</v>
      </c>
      <c r="D2" s="10">
        <f>B2/$B$21</f>
        <v>0.142231746076994</v>
      </c>
    </row>
    <row r="3" spans="1:4">
      <c r="A3" s="8" t="s">
        <v>9</v>
      </c>
      <c r="B3" s="9">
        <f>SUMIF('Revenus B2B'!A:A,'Revenus par client'!A3,'Revenus B2B'!D:D)</f>
        <v>5100</v>
      </c>
      <c r="C3" s="8">
        <f>COUNTIF('Revenus B2B'!A:A,'Revenus par client'!A3)</f>
        <v>1</v>
      </c>
      <c r="D3" s="10">
        <f t="shared" ref="D3:D18" si="0">B3/$B$21</f>
        <v>0.0180823709434594</v>
      </c>
    </row>
    <row r="4" spans="1:4">
      <c r="A4" s="8" t="s">
        <v>11</v>
      </c>
      <c r="B4" s="9">
        <f>SUMIF('Revenus B2B'!A:A,'Revenus par client'!A4,'Revenus B2B'!D:D)</f>
        <v>109504.5</v>
      </c>
      <c r="C4" s="8">
        <f>COUNTIF('Revenus B2B'!A:A,'Revenus par client'!A4)</f>
        <v>4</v>
      </c>
      <c r="D4" s="10">
        <f t="shared" si="0"/>
        <v>0.388255095878049</v>
      </c>
    </row>
    <row r="5" spans="1:4">
      <c r="A5" s="8" t="s">
        <v>13</v>
      </c>
      <c r="B5" s="9">
        <f>SUMIF('Revenus B2B'!A:A,'Revenus par client'!A5,'Revenus B2B'!D:D)</f>
        <v>4024.9</v>
      </c>
      <c r="C5" s="8">
        <f>COUNTIF('Revenus B2B'!A:A,'Revenus par client'!A5)</f>
        <v>2</v>
      </c>
      <c r="D5" s="10">
        <f t="shared" si="0"/>
        <v>0.0142705362373196</v>
      </c>
    </row>
    <row r="6" spans="1:4">
      <c r="A6" s="8" t="s">
        <v>15</v>
      </c>
      <c r="B6" s="9">
        <f>SUMIF('Revenus B2B'!A:A,'Revenus par client'!A6,'Revenus B2B'!D:D)</f>
        <v>7470</v>
      </c>
      <c r="C6" s="8">
        <f>COUNTIF('Revenus B2B'!A:A,'Revenus par client'!A6)</f>
        <v>1</v>
      </c>
      <c r="D6" s="10">
        <f t="shared" si="0"/>
        <v>0.0264853550877729</v>
      </c>
    </row>
    <row r="7" spans="1:4">
      <c r="A7" s="8" t="s">
        <v>17</v>
      </c>
      <c r="B7" s="9">
        <f>SUMIF('Revenus B2B'!A:A,'Revenus par client'!A7,'Revenus B2B'!D:D)</f>
        <v>9100</v>
      </c>
      <c r="C7" s="8">
        <f>COUNTIF('Revenus B2B'!A:A,'Revenus par client'!A7)</f>
        <v>18</v>
      </c>
      <c r="D7" s="10">
        <f t="shared" si="0"/>
        <v>0.0322646226638197</v>
      </c>
    </row>
    <row r="8" spans="1:4">
      <c r="A8" s="8" t="s">
        <v>24</v>
      </c>
      <c r="B8" s="9">
        <f>SUMIF('Revenus B2B'!A:A,'Revenus par client'!A8,'Revenus B2B'!D:D)</f>
        <v>5460</v>
      </c>
      <c r="C8" s="8">
        <f>COUNTIF('Revenus B2B'!A:A,'Revenus par client'!A8)</f>
        <v>1</v>
      </c>
      <c r="D8" s="10">
        <f t="shared" si="0"/>
        <v>0.0193587735982918</v>
      </c>
    </row>
    <row r="9" spans="1:4">
      <c r="A9" s="8" t="s">
        <v>26</v>
      </c>
      <c r="B9" s="9">
        <f>SUMIF('Revenus B2B'!A:A,'Revenus par client'!A9,'Revenus B2B'!D:D)</f>
        <v>36667.5</v>
      </c>
      <c r="C9" s="8">
        <f>COUNTIF('Revenus B2B'!A:A,'Revenus par client'!A9)</f>
        <v>2</v>
      </c>
      <c r="D9" s="10">
        <f t="shared" si="0"/>
        <v>0.130006928739078</v>
      </c>
    </row>
    <row r="10" spans="1:4">
      <c r="A10" s="8" t="s">
        <v>32</v>
      </c>
      <c r="B10" s="9">
        <f>SUMIF('Revenus B2B'!A:A,'Revenus par client'!A10,'Revenus B2B'!D:D)</f>
        <v>7775</v>
      </c>
      <c r="C10" s="8">
        <f>COUNTIF('Revenus B2B'!A:A,'Revenus par client'!A10)</f>
        <v>3</v>
      </c>
      <c r="D10" s="10">
        <f t="shared" si="0"/>
        <v>0.0275667517814504</v>
      </c>
    </row>
    <row r="11" spans="1:4">
      <c r="A11" s="8" t="s">
        <v>36</v>
      </c>
      <c r="B11" s="9">
        <f>SUMIF('Revenus B2B'!A:A,'Revenus par client'!A11,'Revenus B2B'!D:D)</f>
        <v>224.34</v>
      </c>
      <c r="C11" s="8">
        <f>COUNTIF('Revenus B2B'!A:A,'Revenus par client'!A11)</f>
        <v>1</v>
      </c>
      <c r="D11" s="10">
        <f t="shared" si="0"/>
        <v>0.000795411587736408</v>
      </c>
    </row>
    <row r="12" spans="1:4">
      <c r="A12" s="8" t="s">
        <v>38</v>
      </c>
      <c r="B12" s="9">
        <f>SUMIF('Revenus B2B'!A:A,'Revenus par client'!A12,'Revenus B2B'!D:D)</f>
        <v>50000</v>
      </c>
      <c r="C12" s="8">
        <f>COUNTIF('Revenus B2B'!A:A,'Revenus par client'!A12)</f>
        <v>1</v>
      </c>
      <c r="D12" s="10">
        <f t="shared" si="0"/>
        <v>0.177278146504504</v>
      </c>
    </row>
    <row r="13" spans="1:4">
      <c r="A13" s="8" t="s">
        <v>40</v>
      </c>
      <c r="B13" s="9">
        <f>SUMIF('Revenus B2B'!A:A,'Revenus par client'!A13,'Revenus B2B'!D:D)</f>
        <v>1785</v>
      </c>
      <c r="C13" s="8">
        <f>COUNTIF('Revenus B2B'!A:A,'Revenus par client'!A13)</f>
        <v>1</v>
      </c>
      <c r="D13" s="10">
        <f t="shared" si="0"/>
        <v>0.00632882983021079</v>
      </c>
    </row>
    <row r="14" spans="1:4">
      <c r="A14" s="8" t="s">
        <v>42</v>
      </c>
      <c r="B14" s="9">
        <f>SUMIF('Revenus B2B'!A:A,'Revenus par client'!A14,'Revenus B2B'!D:D)</f>
        <v>1720</v>
      </c>
      <c r="C14" s="8">
        <f>COUNTIF('Revenus B2B'!A:A,'Revenus par client'!A14)</f>
        <v>1</v>
      </c>
      <c r="D14" s="10">
        <f t="shared" si="0"/>
        <v>0.00609836823975494</v>
      </c>
    </row>
    <row r="15" spans="1:4">
      <c r="A15" s="8" t="s">
        <v>44</v>
      </c>
      <c r="B15" s="9">
        <f>SUMIF('Revenus B2B'!A:A,'Revenus par client'!A15,'Revenus B2B'!D:D)</f>
        <v>605</v>
      </c>
      <c r="C15" s="8">
        <f>COUNTIF('Revenus B2B'!A:A,'Revenus par client'!A15)</f>
        <v>1</v>
      </c>
      <c r="D15" s="10">
        <f t="shared" si="0"/>
        <v>0.0021450655727045</v>
      </c>
    </row>
    <row r="16" spans="1:4">
      <c r="A16" s="8" t="s">
        <v>46</v>
      </c>
      <c r="B16" s="9">
        <f>SUMIF('Revenus B2B'!A:A,'Revenus par client'!A16,'Revenus B2B'!D:D)</f>
        <v>1871</v>
      </c>
      <c r="C16" s="8">
        <f>COUNTIF('Revenus B2B'!A:A,'Revenus par client'!A16)</f>
        <v>11</v>
      </c>
      <c r="D16" s="10">
        <f t="shared" si="0"/>
        <v>0.00663374824219854</v>
      </c>
    </row>
    <row r="17" spans="1:4">
      <c r="A17" s="8" t="s">
        <v>47</v>
      </c>
      <c r="B17" s="9">
        <f>SUMIF('Revenus B2B'!A:A,'Revenus par client'!A17,'Revenus B2B'!D:D)</f>
        <v>470</v>
      </c>
      <c r="C17" s="8">
        <f>COUNTIF('Revenus B2B'!A:A,'Revenus par client'!A17)</f>
        <v>1</v>
      </c>
      <c r="D17" s="10">
        <f t="shared" si="0"/>
        <v>0.00166641457714234</v>
      </c>
    </row>
    <row r="18" spans="1:4">
      <c r="A18" s="8" t="s">
        <v>49</v>
      </c>
      <c r="B18" s="9">
        <f>SUMIF('Revenus B2B'!A:A,'Revenus par client'!A18,'Revenus B2B'!D:D)</f>
        <v>150</v>
      </c>
      <c r="C18" s="8">
        <f>COUNTIF('Revenus B2B'!A:A,'Revenus par client'!A18)</f>
        <v>1</v>
      </c>
      <c r="D18" s="10">
        <f t="shared" si="0"/>
        <v>0.000531834439513512</v>
      </c>
    </row>
    <row r="21" spans="1:3">
      <c r="A21" s="11" t="s">
        <v>63</v>
      </c>
      <c r="B21" s="11">
        <f>SUM(B2:B18)</f>
        <v>282042.66</v>
      </c>
      <c r="C21" s="11">
        <f>SUM(C2:C18)</f>
        <v>58</v>
      </c>
    </row>
  </sheetData>
  <dataValidations count="1">
    <dataValidation type="list" allowBlank="1" showInputMessage="1" showErrorMessage="1" sqref="A2:A20">
      <formula1>'Revenus B2B'!$A$2:$A$58</formula1>
    </dataValidation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"/>
  <sheetViews>
    <sheetView workbookViewId="0">
      <selection activeCell="A1" sqref="A1:D2"/>
    </sheetView>
  </sheetViews>
  <sheetFormatPr defaultColWidth="9.14285714285714" defaultRowHeight="15" outlineLevelRow="1" outlineLevelCol="3"/>
  <cols>
    <col min="3" max="3" width="11.4285714285714"/>
  </cols>
  <sheetData>
    <row r="1" spans="1:4">
      <c r="A1" t="s">
        <v>0</v>
      </c>
      <c r="B1" t="s">
        <v>1</v>
      </c>
      <c r="C1" t="s">
        <v>2</v>
      </c>
      <c r="D1" t="s">
        <v>64</v>
      </c>
    </row>
    <row r="2" spans="1:4">
      <c r="A2" t="s">
        <v>17</v>
      </c>
      <c r="C2" s="1">
        <v>45691</v>
      </c>
      <c r="D2">
        <v>416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2"/>
  <sheetViews>
    <sheetView workbookViewId="0">
      <selection activeCell="A1" sqref="A1:D2"/>
    </sheetView>
  </sheetViews>
  <sheetFormatPr defaultColWidth="9.14285714285714" defaultRowHeight="15" outlineLevelRow="1" outlineLevelCol="3"/>
  <cols>
    <col min="3" max="3" width="11.4285714285714"/>
  </cols>
  <sheetData>
    <row r="1" spans="1:4">
      <c r="A1" t="s">
        <v>0</v>
      </c>
      <c r="B1" t="s">
        <v>1</v>
      </c>
      <c r="C1" t="s">
        <v>2</v>
      </c>
      <c r="D1" t="s">
        <v>64</v>
      </c>
    </row>
    <row r="2" spans="1:4">
      <c r="A2" t="s">
        <v>17</v>
      </c>
      <c r="C2" s="1">
        <v>45691</v>
      </c>
      <c r="D2">
        <v>416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3:CN60"/>
  <sheetViews>
    <sheetView topLeftCell="AQ13" workbookViewId="0">
      <selection activeCell="AQ35" sqref="AQ35"/>
    </sheetView>
  </sheetViews>
  <sheetFormatPr defaultColWidth="11" defaultRowHeight="15"/>
  <cols>
    <col min="1" max="1" width="29.5714285714286" customWidth="1"/>
    <col min="2" max="2" width="23.8571428571429" customWidth="1"/>
    <col min="3" max="3" width="15.5714285714286" customWidth="1"/>
    <col min="4" max="4" width="12.5714285714286" customWidth="1"/>
    <col min="5" max="5" width="15.5714285714286" customWidth="1"/>
    <col min="6" max="6" width="12.5714285714286" customWidth="1"/>
    <col min="7" max="7" width="15.5714285714286" customWidth="1"/>
    <col min="8" max="8" width="12.5714285714286" customWidth="1"/>
    <col min="9" max="9" width="15.5714285714286" customWidth="1"/>
    <col min="10" max="10" width="12.5714285714286" customWidth="1"/>
    <col min="11" max="11" width="15.5714285714286" customWidth="1"/>
    <col min="12" max="12" width="12.5714285714286" customWidth="1"/>
    <col min="13" max="13" width="15.5714285714286" customWidth="1"/>
    <col min="14" max="14" width="12.5714285714286" customWidth="1"/>
    <col min="15" max="15" width="15.5714285714286" customWidth="1"/>
    <col min="16" max="16" width="12.5714285714286" customWidth="1"/>
    <col min="17" max="17" width="15.5714285714286" customWidth="1"/>
    <col min="18" max="18" width="12.5714285714286" customWidth="1"/>
    <col min="19" max="19" width="15.5714285714286" customWidth="1"/>
    <col min="20" max="20" width="12.5714285714286" customWidth="1"/>
    <col min="21" max="21" width="15.5714285714286" customWidth="1"/>
    <col min="22" max="22" width="12.5714285714286" customWidth="1"/>
    <col min="23" max="23" width="15.5714285714286" customWidth="1"/>
    <col min="24" max="24" width="12.5714285714286" customWidth="1"/>
    <col min="25" max="25" width="15.5714285714286" customWidth="1"/>
    <col min="26" max="26" width="12.5714285714286" customWidth="1"/>
    <col min="27" max="27" width="15.5714285714286" customWidth="1"/>
    <col min="28" max="28" width="12.5714285714286" customWidth="1"/>
    <col min="29" max="29" width="15.5714285714286" customWidth="1"/>
    <col min="30" max="30" width="12.5714285714286" customWidth="1"/>
    <col min="31" max="31" width="15.5714285714286" customWidth="1"/>
    <col min="32" max="32" width="12.5714285714286" customWidth="1"/>
    <col min="33" max="33" width="15.5714285714286" customWidth="1"/>
    <col min="34" max="34" width="12.5714285714286" customWidth="1"/>
    <col min="35" max="35" width="15.5714285714286" customWidth="1"/>
    <col min="36" max="36" width="12.5714285714286" customWidth="1"/>
    <col min="37" max="37" width="15.5714285714286" customWidth="1"/>
    <col min="38" max="38" width="12.5714285714286" customWidth="1"/>
    <col min="39" max="39" width="15.5714285714286" customWidth="1"/>
    <col min="40" max="40" width="12.5714285714286" customWidth="1"/>
    <col min="41" max="41" width="15.5714285714286" customWidth="1"/>
    <col min="42" max="42" width="12.5714285714286" customWidth="1"/>
    <col min="43" max="43" width="15.5714285714286" customWidth="1"/>
    <col min="44" max="44" width="12.5714285714286" customWidth="1"/>
    <col min="45" max="45" width="15.5714285714286" customWidth="1"/>
    <col min="46" max="46" width="12.5714285714286" customWidth="1"/>
    <col min="47" max="47" width="15.5714285714286" customWidth="1"/>
    <col min="48" max="48" width="12.5714285714286" customWidth="1"/>
    <col min="49" max="49" width="15.5714285714286" customWidth="1"/>
    <col min="50" max="50" width="12.5714285714286" customWidth="1"/>
    <col min="51" max="51" width="15.5714285714286" customWidth="1"/>
    <col min="52" max="52" width="12.5714285714286" customWidth="1"/>
    <col min="53" max="53" width="15.5714285714286" customWidth="1"/>
    <col min="54" max="54" width="12.5714285714286" customWidth="1"/>
    <col min="55" max="55" width="15.5714285714286" customWidth="1"/>
    <col min="56" max="56" width="12.5714285714286" customWidth="1"/>
    <col min="57" max="57" width="15.5714285714286" customWidth="1"/>
    <col min="58" max="58" width="12.5714285714286" customWidth="1"/>
    <col min="59" max="59" width="15.5714285714286" customWidth="1"/>
    <col min="60" max="60" width="12.5714285714286" customWidth="1"/>
    <col min="61" max="61" width="15.5714285714286" customWidth="1"/>
    <col min="62" max="62" width="12.5714285714286" customWidth="1"/>
    <col min="63" max="63" width="15.5714285714286" customWidth="1"/>
    <col min="64" max="64" width="12.5714285714286" customWidth="1"/>
    <col min="65" max="65" width="15.5714285714286" customWidth="1"/>
    <col min="66" max="66" width="12.5714285714286" customWidth="1"/>
    <col min="67" max="67" width="15.5714285714286" customWidth="1"/>
    <col min="68" max="68" width="12.5714285714286" customWidth="1"/>
    <col min="69" max="69" width="15.5714285714286" customWidth="1"/>
    <col min="70" max="70" width="12.5714285714286" customWidth="1"/>
    <col min="71" max="71" width="15.5714285714286" customWidth="1"/>
    <col min="72" max="72" width="12.5714285714286" customWidth="1"/>
    <col min="73" max="73" width="15.5714285714286" customWidth="1"/>
    <col min="74" max="74" width="12.5714285714286" customWidth="1"/>
    <col min="75" max="75" width="15.5714285714286" customWidth="1"/>
    <col min="76" max="76" width="12.5714285714286" customWidth="1"/>
    <col min="77" max="77" width="15.5714285714286" customWidth="1"/>
    <col min="78" max="78" width="12.5714285714286" customWidth="1"/>
    <col min="79" max="79" width="15.5714285714286" customWidth="1"/>
    <col min="80" max="80" width="12.5714285714286" customWidth="1"/>
    <col min="81" max="81" width="15.5714285714286" customWidth="1"/>
    <col min="82" max="82" width="12.5714285714286" customWidth="1"/>
    <col min="83" max="83" width="15.5714285714286" customWidth="1"/>
    <col min="84" max="84" width="12.5714285714286" customWidth="1"/>
    <col min="85" max="85" width="15.5714285714286" customWidth="1"/>
    <col min="86" max="86" width="12.5714285714286" customWidth="1"/>
    <col min="87" max="87" width="15.5714285714286" customWidth="1"/>
    <col min="88" max="88" width="12.5714285714286" customWidth="1"/>
    <col min="89" max="89" width="15.5714285714286" customWidth="1"/>
    <col min="90" max="90" width="12.5714285714286" customWidth="1"/>
    <col min="91" max="91" width="15.5714285714286" customWidth="1"/>
    <col min="92" max="93" width="12.5714285714286" customWidth="1"/>
    <col min="94" max="94" width="15.5714285714286" customWidth="1"/>
    <col min="95" max="95" width="12.5714285714286" customWidth="1"/>
    <col min="96" max="96" width="15.5714285714286" customWidth="1"/>
    <col min="97" max="97" width="12.5714285714286" customWidth="1"/>
  </cols>
  <sheetData>
    <row r="3" spans="1:2">
      <c r="A3" t="s">
        <v>65</v>
      </c>
      <c r="B3" t="s">
        <v>66</v>
      </c>
    </row>
    <row r="4" spans="2:92">
      <c r="B4" s="1">
        <v>45149</v>
      </c>
      <c r="C4" s="1" t="s">
        <v>67</v>
      </c>
      <c r="D4" s="1">
        <v>45279</v>
      </c>
      <c r="E4" s="1" t="s">
        <v>68</v>
      </c>
      <c r="F4" s="1">
        <v>45282</v>
      </c>
      <c r="G4" s="1" t="s">
        <v>69</v>
      </c>
      <c r="H4" s="1">
        <v>45286</v>
      </c>
      <c r="I4" s="1" t="s">
        <v>70</v>
      </c>
      <c r="J4" s="1">
        <v>45288</v>
      </c>
      <c r="K4" s="1" t="s">
        <v>71</v>
      </c>
      <c r="L4" s="1">
        <v>45316</v>
      </c>
      <c r="M4" s="1" t="s">
        <v>72</v>
      </c>
      <c r="N4" s="1">
        <v>45322</v>
      </c>
      <c r="O4" s="1" t="s">
        <v>73</v>
      </c>
      <c r="P4" s="1">
        <v>45358</v>
      </c>
      <c r="Q4" s="1" t="s">
        <v>74</v>
      </c>
      <c r="R4" s="1">
        <v>45359</v>
      </c>
      <c r="S4" s="1" t="s">
        <v>75</v>
      </c>
      <c r="T4" s="1">
        <v>45427</v>
      </c>
      <c r="U4" s="1" t="s">
        <v>76</v>
      </c>
      <c r="V4" s="1">
        <v>45455</v>
      </c>
      <c r="W4" s="1" t="s">
        <v>77</v>
      </c>
      <c r="X4" s="1">
        <v>45474</v>
      </c>
      <c r="Y4" s="1" t="s">
        <v>78</v>
      </c>
      <c r="Z4" s="1">
        <v>45503</v>
      </c>
      <c r="AA4" s="1" t="s">
        <v>79</v>
      </c>
      <c r="AB4" s="1">
        <v>45541</v>
      </c>
      <c r="AC4" s="1" t="s">
        <v>80</v>
      </c>
      <c r="AD4" s="1">
        <v>45609</v>
      </c>
      <c r="AE4" s="1" t="s">
        <v>81</v>
      </c>
      <c r="AF4" s="1">
        <v>45636</v>
      </c>
      <c r="AG4" s="1" t="s">
        <v>82</v>
      </c>
      <c r="AH4" s="1">
        <v>45659</v>
      </c>
      <c r="AI4" s="1" t="s">
        <v>83</v>
      </c>
      <c r="AJ4" s="1">
        <v>45660</v>
      </c>
      <c r="AK4" s="1" t="s">
        <v>84</v>
      </c>
      <c r="AL4" s="1">
        <v>45663</v>
      </c>
      <c r="AM4" s="1" t="s">
        <v>85</v>
      </c>
      <c r="AN4" s="1">
        <v>45673</v>
      </c>
      <c r="AO4" s="1" t="s">
        <v>86</v>
      </c>
      <c r="AP4" s="1">
        <v>45691</v>
      </c>
      <c r="AQ4" s="1" t="s">
        <v>87</v>
      </c>
      <c r="AR4" s="1">
        <v>45698</v>
      </c>
      <c r="AS4" s="1" t="s">
        <v>88</v>
      </c>
      <c r="AT4" s="1">
        <v>45718</v>
      </c>
      <c r="AU4" s="1" t="s">
        <v>89</v>
      </c>
      <c r="AV4" s="1">
        <v>45721</v>
      </c>
      <c r="AW4" s="1" t="s">
        <v>90</v>
      </c>
      <c r="AX4" s="1">
        <v>45722</v>
      </c>
      <c r="AY4" s="1" t="s">
        <v>91</v>
      </c>
      <c r="AZ4" s="1">
        <v>45743</v>
      </c>
      <c r="BA4" s="1" t="s">
        <v>92</v>
      </c>
      <c r="BB4" s="1">
        <v>45750</v>
      </c>
      <c r="BC4" s="1" t="s">
        <v>93</v>
      </c>
      <c r="BD4" s="1">
        <v>45758</v>
      </c>
      <c r="BE4" s="1" t="s">
        <v>94</v>
      </c>
      <c r="BF4" s="1">
        <v>45762</v>
      </c>
      <c r="BG4" s="1" t="s">
        <v>95</v>
      </c>
      <c r="BH4" s="1">
        <v>45777</v>
      </c>
      <c r="BI4" s="1" t="s">
        <v>96</v>
      </c>
      <c r="BJ4" s="1">
        <v>45805</v>
      </c>
      <c r="BK4" s="1" t="s">
        <v>97</v>
      </c>
      <c r="BL4" s="1">
        <v>45806</v>
      </c>
      <c r="BM4" s="1" t="s">
        <v>98</v>
      </c>
      <c r="BN4" s="1">
        <v>45839</v>
      </c>
      <c r="BO4" s="1" t="s">
        <v>99</v>
      </c>
      <c r="BP4" s="1">
        <v>45888</v>
      </c>
      <c r="BQ4" s="1" t="s">
        <v>100</v>
      </c>
      <c r="BR4" s="1">
        <v>45911</v>
      </c>
      <c r="BS4" s="1" t="s">
        <v>101</v>
      </c>
      <c r="BT4" s="1">
        <v>45944</v>
      </c>
      <c r="BU4" s="1" t="s">
        <v>102</v>
      </c>
      <c r="BV4" s="1">
        <v>45947</v>
      </c>
      <c r="BW4" s="1" t="s">
        <v>103</v>
      </c>
      <c r="BX4" s="1">
        <v>45978</v>
      </c>
      <c r="BY4" s="1" t="s">
        <v>104</v>
      </c>
      <c r="BZ4" s="1">
        <v>45979</v>
      </c>
      <c r="CA4" s="1" t="s">
        <v>105</v>
      </c>
      <c r="CB4" s="1">
        <v>45982</v>
      </c>
      <c r="CC4" s="1" t="s">
        <v>106</v>
      </c>
      <c r="CD4" s="1">
        <v>45987</v>
      </c>
      <c r="CE4" s="1" t="s">
        <v>107</v>
      </c>
      <c r="CF4" s="1">
        <v>46001</v>
      </c>
      <c r="CG4" s="1" t="s">
        <v>108</v>
      </c>
      <c r="CH4" s="1">
        <v>46003</v>
      </c>
      <c r="CI4" s="1" t="s">
        <v>109</v>
      </c>
      <c r="CJ4" s="1">
        <v>46006</v>
      </c>
      <c r="CK4" s="1" t="s">
        <v>110</v>
      </c>
      <c r="CL4" s="1">
        <v>46007</v>
      </c>
      <c r="CM4" s="1" t="s">
        <v>111</v>
      </c>
      <c r="CN4" s="1" t="s">
        <v>112</v>
      </c>
    </row>
    <row r="5" spans="1:90">
      <c r="A5" t="s">
        <v>113</v>
      </c>
      <c r="B5" t="s">
        <v>114</v>
      </c>
      <c r="D5" t="s">
        <v>114</v>
      </c>
      <c r="F5" t="s">
        <v>114</v>
      </c>
      <c r="H5" t="s">
        <v>114</v>
      </c>
      <c r="J5" t="s">
        <v>114</v>
      </c>
      <c r="L5" t="s">
        <v>115</v>
      </c>
      <c r="N5" t="s">
        <v>115</v>
      </c>
      <c r="P5" t="s">
        <v>115</v>
      </c>
      <c r="R5" t="s">
        <v>115</v>
      </c>
      <c r="T5" t="s">
        <v>115</v>
      </c>
      <c r="V5" t="s">
        <v>115</v>
      </c>
      <c r="X5" t="s">
        <v>115</v>
      </c>
      <c r="Z5" t="s">
        <v>115</v>
      </c>
      <c r="AB5" t="s">
        <v>115</v>
      </c>
      <c r="AD5" t="s">
        <v>115</v>
      </c>
      <c r="AF5" t="s">
        <v>115</v>
      </c>
      <c r="AH5" t="s">
        <v>116</v>
      </c>
      <c r="AJ5" t="s">
        <v>116</v>
      </c>
      <c r="AL5" t="s">
        <v>116</v>
      </c>
      <c r="AN5" t="s">
        <v>116</v>
      </c>
      <c r="AP5" t="s">
        <v>116</v>
      </c>
      <c r="AR5" t="s">
        <v>116</v>
      </c>
      <c r="AT5" t="s">
        <v>116</v>
      </c>
      <c r="AV5" t="s">
        <v>116</v>
      </c>
      <c r="AX5" t="s">
        <v>116</v>
      </c>
      <c r="AZ5" t="s">
        <v>116</v>
      </c>
      <c r="BB5" t="s">
        <v>116</v>
      </c>
      <c r="BD5" t="s">
        <v>116</v>
      </c>
      <c r="BF5" t="s">
        <v>116</v>
      </c>
      <c r="BH5" t="s">
        <v>116</v>
      </c>
      <c r="BJ5" t="s">
        <v>116</v>
      </c>
      <c r="BL5" t="s">
        <v>116</v>
      </c>
      <c r="BN5" t="s">
        <v>116</v>
      </c>
      <c r="BP5" t="s">
        <v>116</v>
      </c>
      <c r="BR5" t="s">
        <v>116</v>
      </c>
      <c r="BT5" t="s">
        <v>116</v>
      </c>
      <c r="BV5" t="s">
        <v>116</v>
      </c>
      <c r="BX5" t="s">
        <v>116</v>
      </c>
      <c r="BZ5" t="s">
        <v>116</v>
      </c>
      <c r="CB5" t="s">
        <v>116</v>
      </c>
      <c r="CD5" t="s">
        <v>116</v>
      </c>
      <c r="CF5" t="s">
        <v>116</v>
      </c>
      <c r="CH5" t="s">
        <v>116</v>
      </c>
      <c r="CJ5" t="s">
        <v>116</v>
      </c>
      <c r="CL5" t="s">
        <v>116</v>
      </c>
    </row>
    <row r="6" spans="1:92">
      <c r="A6" s="2" t="s">
        <v>11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51480</v>
      </c>
      <c r="S6" s="3">
        <v>51480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>
        <v>17407.5</v>
      </c>
      <c r="AS6" s="3">
        <v>17407.5</v>
      </c>
      <c r="AT6" s="3"/>
      <c r="AU6" s="3"/>
      <c r="AV6" s="3">
        <v>11605</v>
      </c>
      <c r="AW6" s="3">
        <v>11605</v>
      </c>
      <c r="AX6" s="3"/>
      <c r="AY6" s="3"/>
      <c r="AZ6" s="3">
        <v>29012</v>
      </c>
      <c r="BA6" s="3">
        <v>29012</v>
      </c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>
        <v>109504.5</v>
      </c>
    </row>
    <row r="7" spans="1:92">
      <c r="A7" s="4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51480</v>
      </c>
      <c r="S7" s="3">
        <v>51480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>
        <v>51480</v>
      </c>
    </row>
    <row r="8" spans="1:92">
      <c r="A8" s="4" t="s">
        <v>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>
        <v>17407.5</v>
      </c>
      <c r="AS8" s="3">
        <v>17407.5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>
        <v>17407.5</v>
      </c>
    </row>
    <row r="9" spans="1:92">
      <c r="A9" s="4" t="s">
        <v>29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>
        <v>11605</v>
      </c>
      <c r="AW9" s="3">
        <v>11605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>
        <v>11605</v>
      </c>
    </row>
    <row r="10" spans="1:92">
      <c r="A10" s="4" t="s">
        <v>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29012</v>
      </c>
      <c r="BA10" s="3">
        <v>29012</v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v>29012</v>
      </c>
    </row>
    <row r="11" spans="1:92">
      <c r="A11" s="2" t="s">
        <v>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1830.4</v>
      </c>
      <c r="Q11" s="3">
        <v>1830.4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2194.5</v>
      </c>
      <c r="AY11" s="3">
        <v>2194.5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>
        <v>4024.9</v>
      </c>
    </row>
    <row r="12" spans="1:92">
      <c r="A12" s="4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v>1830.4</v>
      </c>
      <c r="Q12" s="3">
        <v>1830.4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>
        <v>1830.4</v>
      </c>
    </row>
    <row r="13" spans="1:92">
      <c r="A13" s="4" t="s">
        <v>31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2194.5</v>
      </c>
      <c r="AY13" s="3">
        <v>2194.5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>
        <v>2194.5</v>
      </c>
    </row>
    <row r="14" spans="1:92">
      <c r="A14" s="2" t="s">
        <v>32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3737.5</v>
      </c>
      <c r="CE14" s="3">
        <v>3737.5</v>
      </c>
      <c r="CF14" s="3"/>
      <c r="CG14" s="3"/>
      <c r="CH14" s="3"/>
      <c r="CI14" s="3"/>
      <c r="CJ14" s="3">
        <v>4037.5</v>
      </c>
      <c r="CK14" s="3">
        <v>4037.5</v>
      </c>
      <c r="CL14" s="3"/>
      <c r="CM14" s="3"/>
      <c r="CN14" s="3">
        <v>7775</v>
      </c>
    </row>
    <row r="15" spans="1:92">
      <c r="A15" s="4" t="s">
        <v>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3737.5</v>
      </c>
      <c r="CE15" s="3">
        <v>3737.5</v>
      </c>
      <c r="CF15" s="3"/>
      <c r="CG15" s="3"/>
      <c r="CH15" s="3"/>
      <c r="CI15" s="3"/>
      <c r="CJ15" s="3"/>
      <c r="CK15" s="3"/>
      <c r="CL15" s="3"/>
      <c r="CM15" s="3"/>
      <c r="CN15" s="3">
        <v>3737.5</v>
      </c>
    </row>
    <row r="16" spans="1:92">
      <c r="A16" s="4" t="s">
        <v>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>
        <v>300</v>
      </c>
      <c r="CK16" s="3">
        <v>300</v>
      </c>
      <c r="CL16" s="3"/>
      <c r="CM16" s="3"/>
      <c r="CN16" s="3">
        <v>300</v>
      </c>
    </row>
    <row r="17" spans="1:92">
      <c r="A17" s="4" t="s">
        <v>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>
        <v>3737.5</v>
      </c>
      <c r="CK17" s="3">
        <v>3737.5</v>
      </c>
      <c r="CL17" s="3"/>
      <c r="CM17" s="3"/>
      <c r="CN17" s="3">
        <v>3737.5</v>
      </c>
    </row>
    <row r="18" spans="1:92">
      <c r="A18" s="2" t="s">
        <v>15</v>
      </c>
      <c r="B18" s="3"/>
      <c r="C18" s="3"/>
      <c r="D18" s="3"/>
      <c r="E18" s="3"/>
      <c r="F18" s="3">
        <v>7470</v>
      </c>
      <c r="G18" s="3">
        <v>7470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>
        <v>7470</v>
      </c>
    </row>
    <row r="19" spans="1:92">
      <c r="A19" s="4" t="s">
        <v>16</v>
      </c>
      <c r="B19" s="3"/>
      <c r="C19" s="3"/>
      <c r="D19" s="3"/>
      <c r="E19" s="3"/>
      <c r="F19" s="3">
        <v>7470</v>
      </c>
      <c r="G19" s="3">
        <v>7470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>
        <v>7470</v>
      </c>
    </row>
    <row r="20" spans="1:92">
      <c r="A20" s="2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>
        <v>224.34</v>
      </c>
      <c r="BE20" s="3">
        <v>224.34</v>
      </c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>
        <v>224.34</v>
      </c>
    </row>
    <row r="21" spans="1:92">
      <c r="A21" s="4" t="s">
        <v>37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>
        <v>224.34</v>
      </c>
      <c r="BE21" s="3">
        <v>224.34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>
        <v>224.34</v>
      </c>
    </row>
    <row r="22" spans="1:92">
      <c r="A22" s="2" t="s">
        <v>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>
        <v>50000</v>
      </c>
      <c r="AK22" s="3">
        <v>50000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>
        <v>50000</v>
      </c>
    </row>
    <row r="23" spans="1:92">
      <c r="A23" s="4" t="s">
        <v>39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50000</v>
      </c>
      <c r="AK23" s="3">
        <v>50000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>
        <v>50000</v>
      </c>
    </row>
    <row r="24" spans="1:92">
      <c r="A24" s="2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>
        <v>1785</v>
      </c>
      <c r="CA24" s="3">
        <v>1785</v>
      </c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>
        <v>1785</v>
      </c>
    </row>
    <row r="25" spans="1:92">
      <c r="A25" s="4" t="s">
        <v>41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>
        <v>1785</v>
      </c>
      <c r="CA25" s="3">
        <v>1785</v>
      </c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>
        <v>1785</v>
      </c>
    </row>
    <row r="26" spans="1:92">
      <c r="A26" s="2" t="s">
        <v>42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>
        <v>1720</v>
      </c>
      <c r="CM26" s="3">
        <v>1720</v>
      </c>
      <c r="CN26" s="3">
        <v>1720</v>
      </c>
    </row>
    <row r="27" spans="1:92">
      <c r="A27" s="4" t="s">
        <v>43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>
        <v>1720</v>
      </c>
      <c r="CM27" s="3">
        <v>1720</v>
      </c>
      <c r="CN27" s="3">
        <v>1720</v>
      </c>
    </row>
    <row r="28" spans="1:92">
      <c r="A28" s="2" t="s">
        <v>17</v>
      </c>
      <c r="B28" s="3"/>
      <c r="C28" s="3"/>
      <c r="D28" s="3"/>
      <c r="E28" s="3"/>
      <c r="F28" s="3"/>
      <c r="G28" s="3"/>
      <c r="H28" s="3"/>
      <c r="I28" s="3"/>
      <c r="J28" s="3">
        <v>800</v>
      </c>
      <c r="K28" s="3">
        <v>800</v>
      </c>
      <c r="L28" s="3"/>
      <c r="M28" s="3"/>
      <c r="N28" s="3">
        <v>751</v>
      </c>
      <c r="O28" s="3">
        <v>751</v>
      </c>
      <c r="P28" s="3"/>
      <c r="Q28" s="3"/>
      <c r="R28" s="3"/>
      <c r="S28" s="3"/>
      <c r="T28" s="3"/>
      <c r="U28" s="3"/>
      <c r="V28" s="3"/>
      <c r="W28" s="3"/>
      <c r="X28" s="3">
        <v>544</v>
      </c>
      <c r="Y28" s="3">
        <v>544</v>
      </c>
      <c r="Z28" s="3">
        <v>744</v>
      </c>
      <c r="AA28" s="3">
        <v>744</v>
      </c>
      <c r="AB28" s="3">
        <v>544</v>
      </c>
      <c r="AC28" s="3">
        <v>544</v>
      </c>
      <c r="AD28" s="3"/>
      <c r="AE28" s="3"/>
      <c r="AF28" s="3"/>
      <c r="AG28" s="3"/>
      <c r="AH28" s="3">
        <v>352</v>
      </c>
      <c r="AI28" s="3">
        <v>352</v>
      </c>
      <c r="AJ28" s="3"/>
      <c r="AK28" s="3"/>
      <c r="AL28" s="3"/>
      <c r="AM28" s="3"/>
      <c r="AN28" s="3"/>
      <c r="AO28" s="3"/>
      <c r="AP28" s="3">
        <v>416</v>
      </c>
      <c r="AQ28" s="3">
        <v>416</v>
      </c>
      <c r="AR28" s="3"/>
      <c r="AS28" s="3"/>
      <c r="AT28" s="3">
        <v>527</v>
      </c>
      <c r="AU28" s="3">
        <v>527</v>
      </c>
      <c r="AV28" s="3"/>
      <c r="AW28" s="3"/>
      <c r="AX28" s="3"/>
      <c r="AY28" s="3"/>
      <c r="AZ28" s="3"/>
      <c r="BA28" s="3"/>
      <c r="BB28" s="3">
        <v>352</v>
      </c>
      <c r="BC28" s="3">
        <v>352</v>
      </c>
      <c r="BD28" s="3"/>
      <c r="BE28" s="3"/>
      <c r="BF28" s="3"/>
      <c r="BG28" s="3"/>
      <c r="BH28" s="3">
        <v>576</v>
      </c>
      <c r="BI28" s="3">
        <v>576</v>
      </c>
      <c r="BJ28" s="3">
        <v>727</v>
      </c>
      <c r="BK28" s="3">
        <v>727</v>
      </c>
      <c r="BL28" s="3">
        <v>276</v>
      </c>
      <c r="BM28" s="3">
        <v>276</v>
      </c>
      <c r="BN28" s="3">
        <v>384</v>
      </c>
      <c r="BO28" s="3">
        <v>384</v>
      </c>
      <c r="BP28" s="3">
        <v>320</v>
      </c>
      <c r="BQ28" s="3">
        <v>320</v>
      </c>
      <c r="BR28" s="3">
        <v>484</v>
      </c>
      <c r="BS28" s="3">
        <v>484</v>
      </c>
      <c r="BT28" s="3">
        <v>224</v>
      </c>
      <c r="BU28" s="3">
        <v>224</v>
      </c>
      <c r="BV28" s="3"/>
      <c r="BW28" s="3"/>
      <c r="BX28" s="3"/>
      <c r="BY28" s="3"/>
      <c r="BZ28" s="3"/>
      <c r="CA28" s="3"/>
      <c r="CB28" s="3">
        <v>352</v>
      </c>
      <c r="CC28" s="3">
        <v>352</v>
      </c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>
        <v>8373</v>
      </c>
    </row>
    <row r="29" spans="1:92">
      <c r="A29" s="4" t="s">
        <v>18</v>
      </c>
      <c r="B29" s="3"/>
      <c r="C29" s="3"/>
      <c r="D29" s="3"/>
      <c r="E29" s="3"/>
      <c r="F29" s="3"/>
      <c r="G29" s="3"/>
      <c r="H29" s="3"/>
      <c r="I29" s="3"/>
      <c r="J29" s="3">
        <v>800</v>
      </c>
      <c r="K29" s="3">
        <v>800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>
        <v>800</v>
      </c>
    </row>
    <row r="30" spans="1:92">
      <c r="A30" s="4" t="s">
        <v>19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>
        <v>751</v>
      </c>
      <c r="O30" s="3">
        <v>751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>
        <v>751</v>
      </c>
    </row>
    <row r="31" spans="1:92">
      <c r="A31" s="4" t="s">
        <v>20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727</v>
      </c>
      <c r="BK31" s="3">
        <v>727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>
        <v>727</v>
      </c>
    </row>
    <row r="32" spans="1:92">
      <c r="A32" s="4" t="s">
        <v>21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>
        <v>544</v>
      </c>
      <c r="Y32" s="3">
        <v>544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>
        <v>544</v>
      </c>
    </row>
    <row r="33" spans="1:92">
      <c r="A33" s="4" t="s">
        <v>22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744</v>
      </c>
      <c r="AA33" s="3">
        <v>744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>
        <v>744</v>
      </c>
    </row>
    <row r="34" spans="1:92">
      <c r="A34" s="4" t="s">
        <v>23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544</v>
      </c>
      <c r="AC34" s="3">
        <v>544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>
        <v>544</v>
      </c>
    </row>
    <row r="35" spans="1:92">
      <c r="A35" s="4" t="s">
        <v>117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>
        <v>352</v>
      </c>
      <c r="AI35" s="3">
        <v>352</v>
      </c>
      <c r="AJ35" s="3"/>
      <c r="AK35" s="3"/>
      <c r="AL35" s="3"/>
      <c r="AM35" s="3"/>
      <c r="AN35" s="3"/>
      <c r="AO35" s="3"/>
      <c r="AP35" s="3">
        <v>416</v>
      </c>
      <c r="AQ35" s="3">
        <v>416</v>
      </c>
      <c r="AR35" s="3"/>
      <c r="AS35" s="3"/>
      <c r="AT35" s="3">
        <v>527</v>
      </c>
      <c r="AU35" s="3">
        <v>527</v>
      </c>
      <c r="AV35" s="3"/>
      <c r="AW35" s="3"/>
      <c r="AX35" s="3"/>
      <c r="AY35" s="3"/>
      <c r="AZ35" s="3"/>
      <c r="BA35" s="3"/>
      <c r="BB35" s="3">
        <v>352</v>
      </c>
      <c r="BC35" s="3">
        <v>352</v>
      </c>
      <c r="BD35" s="3"/>
      <c r="BE35" s="3"/>
      <c r="BF35" s="3"/>
      <c r="BG35" s="3"/>
      <c r="BH35" s="3">
        <v>576</v>
      </c>
      <c r="BI35" s="3">
        <v>576</v>
      </c>
      <c r="BJ35" s="3"/>
      <c r="BK35" s="3"/>
      <c r="BL35" s="3">
        <v>276</v>
      </c>
      <c r="BM35" s="3">
        <v>276</v>
      </c>
      <c r="BN35" s="3">
        <v>384</v>
      </c>
      <c r="BO35" s="3">
        <v>384</v>
      </c>
      <c r="BP35" s="3">
        <v>320</v>
      </c>
      <c r="BQ35" s="3">
        <v>320</v>
      </c>
      <c r="BR35" s="3">
        <v>484</v>
      </c>
      <c r="BS35" s="3">
        <v>484</v>
      </c>
      <c r="BT35" s="3">
        <v>224</v>
      </c>
      <c r="BU35" s="3">
        <v>224</v>
      </c>
      <c r="BV35" s="3"/>
      <c r="BW35" s="3"/>
      <c r="BX35" s="3"/>
      <c r="BY35" s="3"/>
      <c r="BZ35" s="3"/>
      <c r="CA35" s="3"/>
      <c r="CB35" s="3">
        <v>352</v>
      </c>
      <c r="CC35" s="3">
        <v>352</v>
      </c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>
        <v>4263</v>
      </c>
    </row>
    <row r="36" spans="1:92">
      <c r="A36" s="2" t="s">
        <v>44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>
        <v>605</v>
      </c>
      <c r="CI36" s="3">
        <v>605</v>
      </c>
      <c r="CJ36" s="3"/>
      <c r="CK36" s="3"/>
      <c r="CL36" s="3"/>
      <c r="CM36" s="3"/>
      <c r="CN36" s="3">
        <v>605</v>
      </c>
    </row>
    <row r="37" spans="1:92">
      <c r="A37" s="4" t="s">
        <v>45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>
        <v>605</v>
      </c>
      <c r="CI37" s="3">
        <v>605</v>
      </c>
      <c r="CJ37" s="3"/>
      <c r="CK37" s="3"/>
      <c r="CL37" s="3"/>
      <c r="CM37" s="3"/>
      <c r="CN37" s="3">
        <v>605</v>
      </c>
    </row>
    <row r="38" spans="1:92">
      <c r="A38" s="2" t="s">
        <v>24</v>
      </c>
      <c r="B38" s="3"/>
      <c r="C38" s="3"/>
      <c r="D38" s="3"/>
      <c r="E38" s="3"/>
      <c r="F38" s="3"/>
      <c r="G38" s="3"/>
      <c r="H38" s="3">
        <v>5460</v>
      </c>
      <c r="I38" s="3">
        <v>5460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>
        <v>5460</v>
      </c>
    </row>
    <row r="39" spans="1:92">
      <c r="A39" s="4" t="s">
        <v>25</v>
      </c>
      <c r="B39" s="3"/>
      <c r="C39" s="3"/>
      <c r="D39" s="3"/>
      <c r="E39" s="3"/>
      <c r="F39" s="3"/>
      <c r="G39" s="3"/>
      <c r="H39" s="3">
        <v>5460</v>
      </c>
      <c r="I39" s="3">
        <v>5460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>
        <v>5460</v>
      </c>
    </row>
    <row r="40" spans="1:92">
      <c r="A40" s="2" t="s">
        <v>46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160</v>
      </c>
      <c r="AM40" s="3">
        <v>160</v>
      </c>
      <c r="AN40" s="3"/>
      <c r="AO40" s="3"/>
      <c r="AP40" s="3">
        <v>160</v>
      </c>
      <c r="AQ40" s="3">
        <v>160</v>
      </c>
      <c r="AR40" s="3"/>
      <c r="AS40" s="3"/>
      <c r="AT40" s="3">
        <v>224</v>
      </c>
      <c r="AU40" s="3">
        <v>224</v>
      </c>
      <c r="AV40" s="3"/>
      <c r="AW40" s="3"/>
      <c r="AX40" s="3"/>
      <c r="AY40" s="3"/>
      <c r="AZ40" s="3"/>
      <c r="BA40" s="3"/>
      <c r="BB40" s="3">
        <v>256</v>
      </c>
      <c r="BC40" s="3">
        <v>256</v>
      </c>
      <c r="BD40" s="3"/>
      <c r="BE40" s="3"/>
      <c r="BF40" s="3"/>
      <c r="BG40" s="3"/>
      <c r="BH40" s="3">
        <v>303</v>
      </c>
      <c r="BI40" s="3">
        <v>303</v>
      </c>
      <c r="BJ40" s="3"/>
      <c r="BK40" s="3"/>
      <c r="BL40" s="3">
        <v>224</v>
      </c>
      <c r="BM40" s="3">
        <v>224</v>
      </c>
      <c r="BN40" s="3">
        <v>192</v>
      </c>
      <c r="BO40" s="3">
        <v>192</v>
      </c>
      <c r="BP40" s="3">
        <v>32</v>
      </c>
      <c r="BQ40" s="3">
        <v>32</v>
      </c>
      <c r="BR40" s="3">
        <v>128</v>
      </c>
      <c r="BS40" s="3">
        <v>128</v>
      </c>
      <c r="BT40" s="3">
        <v>96</v>
      </c>
      <c r="BU40" s="3">
        <v>96</v>
      </c>
      <c r="BV40" s="3"/>
      <c r="BW40" s="3"/>
      <c r="BX40" s="3"/>
      <c r="BY40" s="3"/>
      <c r="BZ40" s="3"/>
      <c r="CA40" s="3"/>
      <c r="CB40" s="3">
        <v>96</v>
      </c>
      <c r="CC40" s="3">
        <v>96</v>
      </c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>
        <v>1871</v>
      </c>
    </row>
    <row r="41" spans="1:92">
      <c r="A41" s="4" t="s">
        <v>117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160</v>
      </c>
      <c r="AM41" s="3">
        <v>160</v>
      </c>
      <c r="AN41" s="3"/>
      <c r="AO41" s="3"/>
      <c r="AP41" s="3">
        <v>160</v>
      </c>
      <c r="AQ41" s="3">
        <v>160</v>
      </c>
      <c r="AR41" s="3"/>
      <c r="AS41" s="3"/>
      <c r="AT41" s="3">
        <v>224</v>
      </c>
      <c r="AU41" s="3">
        <v>224</v>
      </c>
      <c r="AV41" s="3"/>
      <c r="AW41" s="3"/>
      <c r="AX41" s="3"/>
      <c r="AY41" s="3"/>
      <c r="AZ41" s="3"/>
      <c r="BA41" s="3"/>
      <c r="BB41" s="3">
        <v>256</v>
      </c>
      <c r="BC41" s="3">
        <v>256</v>
      </c>
      <c r="BD41" s="3"/>
      <c r="BE41" s="3"/>
      <c r="BF41" s="3"/>
      <c r="BG41" s="3"/>
      <c r="BH41" s="3">
        <v>303</v>
      </c>
      <c r="BI41" s="3">
        <v>303</v>
      </c>
      <c r="BJ41" s="3"/>
      <c r="BK41" s="3"/>
      <c r="BL41" s="3">
        <v>224</v>
      </c>
      <c r="BM41" s="3">
        <v>224</v>
      </c>
      <c r="BN41" s="3">
        <v>192</v>
      </c>
      <c r="BO41" s="3">
        <v>192</v>
      </c>
      <c r="BP41" s="3">
        <v>32</v>
      </c>
      <c r="BQ41" s="3">
        <v>32</v>
      </c>
      <c r="BR41" s="3">
        <v>128</v>
      </c>
      <c r="BS41" s="3">
        <v>128</v>
      </c>
      <c r="BT41" s="3">
        <v>96</v>
      </c>
      <c r="BU41" s="3">
        <v>96</v>
      </c>
      <c r="BV41" s="3"/>
      <c r="BW41" s="3"/>
      <c r="BX41" s="3"/>
      <c r="BY41" s="3"/>
      <c r="BZ41" s="3"/>
      <c r="CA41" s="3"/>
      <c r="CB41" s="3">
        <v>96</v>
      </c>
      <c r="CC41" s="3">
        <v>96</v>
      </c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>
        <v>1871</v>
      </c>
    </row>
    <row r="42" spans="1:92">
      <c r="A42" s="2" t="s">
        <v>9</v>
      </c>
      <c r="B42" s="3"/>
      <c r="C42" s="3"/>
      <c r="D42" s="3">
        <v>5100</v>
      </c>
      <c r="E42" s="3">
        <v>5100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>
        <v>5100</v>
      </c>
    </row>
    <row r="43" spans="1:92">
      <c r="A43" s="4" t="s">
        <v>10</v>
      </c>
      <c r="B43" s="3"/>
      <c r="C43" s="3"/>
      <c r="D43" s="3">
        <v>5100</v>
      </c>
      <c r="E43" s="3">
        <v>5100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>
        <v>5100</v>
      </c>
    </row>
    <row r="44" spans="1:92">
      <c r="A44" s="2" t="s">
        <v>47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>
        <v>470</v>
      </c>
      <c r="CG44" s="3">
        <v>470</v>
      </c>
      <c r="CH44" s="3"/>
      <c r="CI44" s="3"/>
      <c r="CJ44" s="3"/>
      <c r="CK44" s="3"/>
      <c r="CL44" s="3"/>
      <c r="CM44" s="3"/>
      <c r="CN44" s="3">
        <v>470</v>
      </c>
    </row>
    <row r="45" spans="1:92">
      <c r="A45" s="4" t="s">
        <v>48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>
        <v>470</v>
      </c>
      <c r="CG45" s="3">
        <v>470</v>
      </c>
      <c r="CH45" s="3"/>
      <c r="CI45" s="3"/>
      <c r="CJ45" s="3"/>
      <c r="CK45" s="3"/>
      <c r="CL45" s="3"/>
      <c r="CM45" s="3"/>
      <c r="CN45" s="3">
        <v>470</v>
      </c>
    </row>
    <row r="46" spans="1:92">
      <c r="A46" s="2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>
        <v>150</v>
      </c>
      <c r="BG46" s="3">
        <v>150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>
        <v>150</v>
      </c>
    </row>
    <row r="47" spans="1:92">
      <c r="A47" s="4" t="s">
        <v>50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>
        <v>150</v>
      </c>
      <c r="BG47" s="3">
        <v>150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>
        <v>150</v>
      </c>
    </row>
    <row r="48" spans="1:92">
      <c r="A48" s="2" t="s">
        <v>26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19500</v>
      </c>
      <c r="AE48" s="3">
        <v>19500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>
        <v>17167.5</v>
      </c>
      <c r="CK48" s="3">
        <v>17167.5</v>
      </c>
      <c r="CL48" s="3"/>
      <c r="CM48" s="3"/>
      <c r="CN48" s="3">
        <v>36667.5</v>
      </c>
    </row>
    <row r="49" spans="1:92">
      <c r="A49" s="4" t="s">
        <v>27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>
        <v>19500</v>
      </c>
      <c r="AE49" s="3">
        <v>19500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>
        <v>19500</v>
      </c>
    </row>
    <row r="50" spans="1:92">
      <c r="A50" s="4" t="s">
        <v>51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>
        <v>17167.5</v>
      </c>
      <c r="CK50" s="3">
        <v>17167.5</v>
      </c>
      <c r="CL50" s="3"/>
      <c r="CM50" s="3"/>
      <c r="CN50" s="3">
        <v>17167.5</v>
      </c>
    </row>
    <row r="51" spans="1:92">
      <c r="A51" s="2" t="s">
        <v>4</v>
      </c>
      <c r="B51" s="3">
        <v>6050.42</v>
      </c>
      <c r="C51" s="3">
        <v>6050.42</v>
      </c>
      <c r="D51" s="3"/>
      <c r="E51" s="3"/>
      <c r="F51" s="3"/>
      <c r="G51" s="3"/>
      <c r="H51" s="3"/>
      <c r="I51" s="3"/>
      <c r="J51" s="3"/>
      <c r="K51" s="3"/>
      <c r="L51" s="3">
        <v>1700</v>
      </c>
      <c r="M51" s="3">
        <v>1700</v>
      </c>
      <c r="N51" s="3"/>
      <c r="O51" s="3"/>
      <c r="P51" s="3"/>
      <c r="Q51" s="3"/>
      <c r="R51" s="3"/>
      <c r="S51" s="3"/>
      <c r="T51" s="3">
        <v>845</v>
      </c>
      <c r="U51" s="3">
        <v>845</v>
      </c>
      <c r="V51" s="3">
        <v>4150</v>
      </c>
      <c r="W51" s="3">
        <v>4150</v>
      </c>
      <c r="X51" s="3"/>
      <c r="Y51" s="3"/>
      <c r="Z51" s="3"/>
      <c r="AA51" s="3"/>
      <c r="AB51" s="3"/>
      <c r="AC51" s="3"/>
      <c r="AD51" s="3"/>
      <c r="AE51" s="3"/>
      <c r="AF51" s="3">
        <v>26784</v>
      </c>
      <c r="AG51" s="3">
        <v>26784</v>
      </c>
      <c r="AH51" s="3"/>
      <c r="AI51" s="3"/>
      <c r="AJ51" s="3"/>
      <c r="AK51" s="3"/>
      <c r="AL51" s="3"/>
      <c r="AM51" s="3"/>
      <c r="AN51" s="3">
        <v>186</v>
      </c>
      <c r="AO51" s="3">
        <v>186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>
        <v>200</v>
      </c>
      <c r="BW51" s="3">
        <v>200</v>
      </c>
      <c r="BX51" s="3">
        <v>200</v>
      </c>
      <c r="BY51" s="3">
        <v>200</v>
      </c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>
        <v>40115.42</v>
      </c>
    </row>
    <row r="52" spans="1:92">
      <c r="A52" s="4">
        <v>11775</v>
      </c>
      <c r="B52" s="3">
        <v>6050.42</v>
      </c>
      <c r="C52" s="3">
        <v>6050.42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>
        <v>6050.42</v>
      </c>
    </row>
    <row r="53" spans="1:92">
      <c r="A53" s="4" t="s">
        <v>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>
        <v>1700</v>
      </c>
      <c r="M53" s="3">
        <v>1700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>
        <v>1700</v>
      </c>
    </row>
    <row r="54" spans="1:92">
      <c r="A54" s="4" t="s">
        <v>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845</v>
      </c>
      <c r="U54" s="3">
        <v>845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>
        <v>845</v>
      </c>
    </row>
    <row r="55" spans="1:92">
      <c r="A55" s="4" t="s">
        <v>7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>
        <v>4150</v>
      </c>
      <c r="W55" s="3">
        <v>4150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>
        <v>4150</v>
      </c>
    </row>
    <row r="56" spans="1:92">
      <c r="A56" s="4" t="s">
        <v>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>
        <v>26784</v>
      </c>
      <c r="AG56" s="3">
        <v>26784</v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>
        <v>26784</v>
      </c>
    </row>
    <row r="57" spans="1:92">
      <c r="A57" s="4" t="s">
        <v>52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>
        <v>186</v>
      </c>
      <c r="AO57" s="3">
        <v>186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>
        <v>186</v>
      </c>
    </row>
    <row r="58" spans="1:92">
      <c r="A58" s="4" t="s">
        <v>53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>
        <v>200</v>
      </c>
      <c r="BW58" s="3">
        <v>200</v>
      </c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>
        <v>200</v>
      </c>
    </row>
    <row r="59" spans="1:92">
      <c r="A59" s="4" t="s">
        <v>118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>
        <v>200</v>
      </c>
      <c r="BY59" s="3">
        <v>200</v>
      </c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>
        <v>200</v>
      </c>
    </row>
    <row r="60" spans="1:92">
      <c r="A60" s="2" t="s">
        <v>112</v>
      </c>
      <c r="B60" s="3">
        <v>6050.42</v>
      </c>
      <c r="C60" s="3">
        <v>6050.42</v>
      </c>
      <c r="D60" s="3">
        <v>5100</v>
      </c>
      <c r="E60" s="3">
        <v>5100</v>
      </c>
      <c r="F60" s="3">
        <v>7470</v>
      </c>
      <c r="G60" s="3">
        <v>7470</v>
      </c>
      <c r="H60" s="3">
        <v>5460</v>
      </c>
      <c r="I60" s="3">
        <v>5460</v>
      </c>
      <c r="J60" s="3">
        <v>800</v>
      </c>
      <c r="K60" s="3">
        <v>800</v>
      </c>
      <c r="L60" s="3">
        <v>1700</v>
      </c>
      <c r="M60" s="3">
        <v>1700</v>
      </c>
      <c r="N60" s="3">
        <v>751</v>
      </c>
      <c r="O60" s="3">
        <v>751</v>
      </c>
      <c r="P60" s="3">
        <v>1830.4</v>
      </c>
      <c r="Q60" s="3">
        <v>1830.4</v>
      </c>
      <c r="R60" s="3">
        <v>51480</v>
      </c>
      <c r="S60" s="3">
        <v>51480</v>
      </c>
      <c r="T60" s="3">
        <v>845</v>
      </c>
      <c r="U60" s="3">
        <v>845</v>
      </c>
      <c r="V60" s="3">
        <v>4150</v>
      </c>
      <c r="W60" s="3">
        <v>4150</v>
      </c>
      <c r="X60" s="3">
        <v>544</v>
      </c>
      <c r="Y60" s="3">
        <v>544</v>
      </c>
      <c r="Z60" s="3">
        <v>744</v>
      </c>
      <c r="AA60" s="3">
        <v>744</v>
      </c>
      <c r="AB60" s="3">
        <v>544</v>
      </c>
      <c r="AC60" s="3">
        <v>544</v>
      </c>
      <c r="AD60" s="3">
        <v>19500</v>
      </c>
      <c r="AE60" s="3">
        <v>19500</v>
      </c>
      <c r="AF60" s="3">
        <v>26784</v>
      </c>
      <c r="AG60" s="3">
        <v>26784</v>
      </c>
      <c r="AH60" s="3">
        <v>352</v>
      </c>
      <c r="AI60" s="3">
        <v>352</v>
      </c>
      <c r="AJ60" s="3">
        <v>50000</v>
      </c>
      <c r="AK60" s="3">
        <v>50000</v>
      </c>
      <c r="AL60" s="3">
        <v>160</v>
      </c>
      <c r="AM60" s="3">
        <v>160</v>
      </c>
      <c r="AN60" s="3">
        <v>186</v>
      </c>
      <c r="AO60" s="3">
        <v>186</v>
      </c>
      <c r="AP60" s="3">
        <v>576</v>
      </c>
      <c r="AQ60" s="3">
        <v>576</v>
      </c>
      <c r="AR60" s="3">
        <v>17407.5</v>
      </c>
      <c r="AS60" s="3">
        <v>17407.5</v>
      </c>
      <c r="AT60" s="3">
        <v>751</v>
      </c>
      <c r="AU60" s="3">
        <v>751</v>
      </c>
      <c r="AV60" s="3">
        <v>11605</v>
      </c>
      <c r="AW60" s="3">
        <v>11605</v>
      </c>
      <c r="AX60" s="3">
        <v>2194.5</v>
      </c>
      <c r="AY60" s="3">
        <v>2194.5</v>
      </c>
      <c r="AZ60" s="3">
        <v>29012</v>
      </c>
      <c r="BA60" s="3">
        <v>29012</v>
      </c>
      <c r="BB60" s="3">
        <v>608</v>
      </c>
      <c r="BC60" s="3">
        <v>608</v>
      </c>
      <c r="BD60" s="3">
        <v>224.34</v>
      </c>
      <c r="BE60" s="3">
        <v>224.34</v>
      </c>
      <c r="BF60" s="3">
        <v>150</v>
      </c>
      <c r="BG60" s="3">
        <v>150</v>
      </c>
      <c r="BH60" s="3">
        <v>879</v>
      </c>
      <c r="BI60" s="3">
        <v>879</v>
      </c>
      <c r="BJ60" s="3">
        <v>727</v>
      </c>
      <c r="BK60" s="3">
        <v>727</v>
      </c>
      <c r="BL60" s="3">
        <v>500</v>
      </c>
      <c r="BM60" s="3">
        <v>500</v>
      </c>
      <c r="BN60" s="3">
        <v>576</v>
      </c>
      <c r="BO60" s="3">
        <v>576</v>
      </c>
      <c r="BP60" s="3">
        <v>352</v>
      </c>
      <c r="BQ60" s="3">
        <v>352</v>
      </c>
      <c r="BR60" s="3">
        <v>612</v>
      </c>
      <c r="BS60" s="3">
        <v>612</v>
      </c>
      <c r="BT60" s="3">
        <v>320</v>
      </c>
      <c r="BU60" s="3">
        <v>320</v>
      </c>
      <c r="BV60" s="3">
        <v>200</v>
      </c>
      <c r="BW60" s="3">
        <v>200</v>
      </c>
      <c r="BX60" s="3">
        <v>200</v>
      </c>
      <c r="BY60" s="3">
        <v>200</v>
      </c>
      <c r="BZ60" s="3">
        <v>1785</v>
      </c>
      <c r="CA60" s="3">
        <v>1785</v>
      </c>
      <c r="CB60" s="3">
        <v>448</v>
      </c>
      <c r="CC60" s="3">
        <v>448</v>
      </c>
      <c r="CD60" s="3">
        <v>3737.5</v>
      </c>
      <c r="CE60" s="3">
        <v>3737.5</v>
      </c>
      <c r="CF60" s="3">
        <v>470</v>
      </c>
      <c r="CG60" s="3">
        <v>470</v>
      </c>
      <c r="CH60" s="3">
        <v>605</v>
      </c>
      <c r="CI60" s="3">
        <v>605</v>
      </c>
      <c r="CJ60" s="3">
        <v>21205</v>
      </c>
      <c r="CK60" s="3">
        <v>21205</v>
      </c>
      <c r="CL60" s="3">
        <v>1720</v>
      </c>
      <c r="CM60" s="3">
        <v>1720</v>
      </c>
      <c r="CN60" s="3">
        <v>281315.66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Revenus B2B</vt:lpstr>
      <vt:lpstr>Revenus par client</vt:lpstr>
      <vt:lpstr>Feuille4</vt:lpstr>
      <vt:lpstr>Feuille5</vt:lpstr>
      <vt:lpstr>Bilan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Alaeddine Abidi</dc:creator>
  <cp:lastModifiedBy>Raouaa Ben Mehrez</cp:lastModifiedBy>
  <dcterms:created xsi:type="dcterms:W3CDTF">2026-01-23T10:16:00Z</dcterms:created>
  <dcterms:modified xsi:type="dcterms:W3CDTF">2026-03-01T10:04:59Z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7849B1F1EE9546269A020993E70B0ABB_12</vt:lpwstr>
  </property>
  <property fmtid="{D5CDD505-2E9C-101B-9397-08002B2CF9AE}" pid="3" name="KSOProductBuildVer">
    <vt:lpwstr>1036-12.2.0.23196</vt:lpwstr>
  </property>
</Properties>
</file>