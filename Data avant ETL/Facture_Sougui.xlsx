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 firstSheet="5" activeTab="3"/>
  </bookViews>
  <sheets>
    <sheet name="Settings" sheetId="4" r:id="rId1"/>
    <sheet name="Facture" sheetId="1" r:id="rId2"/>
    <sheet name="Devis" sheetId="8" r:id="rId3"/>
    <sheet name="Adresses" sheetId="7" r:id="rId4"/>
    <sheet name="Historiques Factures Achat" sheetId="10" r:id="rId5"/>
    <sheet name="Historiques Factures Vente" sheetId="9" r:id="rId6"/>
  </sheets>
  <definedNames>
    <definedName name="_xlnm.Print_Area" localSheetId="2">Devis!$B$1:$K$50</definedName>
    <definedName name="_xlnm.Print_Area" localSheetId="1">Facture!$B$1:$K$48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<sst xmlns="http://schemas.openxmlformats.org/spreadsheetml/2006/main" count="234" uniqueCount="179">
  <si>
    <t>Settings</t>
  </si>
  <si>
    <t>Company Details</t>
  </si>
  <si>
    <t>Company Name</t>
  </si>
  <si>
    <t>SOUGUI ESHOP</t>
  </si>
  <si>
    <t>Enable</t>
  </si>
  <si>
    <t>Company Slogan (Optional)</t>
  </si>
  <si>
    <t>My company slogan</t>
  </si>
  <si>
    <t>Disable</t>
  </si>
  <si>
    <t>Company Address</t>
  </si>
  <si>
    <t>Building/House Number</t>
  </si>
  <si>
    <t>Street</t>
  </si>
  <si>
    <t xml:space="preserve">Rue Mokhtar Attia </t>
  </si>
  <si>
    <t>Town/City</t>
  </si>
  <si>
    <t>Megrine</t>
  </si>
  <si>
    <t>County/Province</t>
  </si>
  <si>
    <t>State/Province</t>
  </si>
  <si>
    <t>Ben Arous</t>
  </si>
  <si>
    <t>ZIP/Postal Code</t>
  </si>
  <si>
    <t>2033</t>
  </si>
  <si>
    <t>Tel.</t>
  </si>
  <si>
    <t xml:space="preserve">   +216 55 466 087</t>
  </si>
  <si>
    <t>Fax</t>
  </si>
  <si>
    <t>E-mail</t>
  </si>
  <si>
    <t>contact@sougui.tn</t>
  </si>
  <si>
    <t>Website</t>
  </si>
  <si>
    <t>www.sougui.tn</t>
  </si>
  <si>
    <t>Person/Department to contact</t>
  </si>
  <si>
    <t>Contact Tel. Number</t>
  </si>
  <si>
    <t>Country Specific Settings</t>
  </si>
  <si>
    <t>Select Relevant</t>
  </si>
  <si>
    <t>Sales Tax</t>
  </si>
  <si>
    <t>Color Scheme</t>
  </si>
  <si>
    <t>Design Picker</t>
  </si>
  <si>
    <t>Blue</t>
  </si>
  <si>
    <t>Facture</t>
  </si>
  <si>
    <t>Date:</t>
  </si>
  <si>
    <t>Facture #:</t>
  </si>
  <si>
    <t>FAC25-32</t>
  </si>
  <si>
    <t>Client ID</t>
  </si>
  <si>
    <t>-</t>
  </si>
  <si>
    <t>Expéditeur :</t>
  </si>
  <si>
    <t>A envoyer à :</t>
  </si>
  <si>
    <t xml:space="preserve">Nom                 </t>
  </si>
  <si>
    <t>SOUGUI E SHOP</t>
  </si>
  <si>
    <t>Nom</t>
  </si>
  <si>
    <t>Bank ABC Tunis</t>
  </si>
  <si>
    <t xml:space="preserve">MF    </t>
  </si>
  <si>
    <t xml:space="preserve"> 1797689/E</t>
  </si>
  <si>
    <t xml:space="preserve">Matricule Fiscal </t>
  </si>
  <si>
    <t xml:space="preserve">Adresse </t>
  </si>
  <si>
    <t>18 Rue Mokhtar Attia Megrine,Ben Arous 2033</t>
  </si>
  <si>
    <t>Adresse</t>
  </si>
  <si>
    <t>Téléphone</t>
  </si>
  <si>
    <t>Référence</t>
  </si>
  <si>
    <t xml:space="preserve">Description </t>
  </si>
  <si>
    <t>PU HT</t>
  </si>
  <si>
    <t xml:space="preserve">Quantité </t>
  </si>
  <si>
    <t>Prix Total HT</t>
  </si>
  <si>
    <t>Mode de paiement: 50% à l'avance , 50% à la livraison</t>
  </si>
  <si>
    <t>SM-001</t>
  </si>
  <si>
    <t>Saphir Majesté</t>
  </si>
  <si>
    <t>AI-001</t>
  </si>
  <si>
    <t>Azur Impérial</t>
  </si>
  <si>
    <t>IMP-001</t>
  </si>
  <si>
    <t>Impérial d'or</t>
  </si>
  <si>
    <t>Pers</t>
  </si>
  <si>
    <t>Packaging &amp; personnalisation</t>
  </si>
  <si>
    <t>Conditions de paiement :</t>
  </si>
  <si>
    <t>Montant Total HT</t>
  </si>
  <si>
    <t>Les modes de paiement acceptés incluent le chèque et le virement 
bancaire</t>
  </si>
  <si>
    <t>TVA</t>
  </si>
  <si>
    <t>Timbre</t>
  </si>
  <si>
    <t>Détails bancaires</t>
  </si>
  <si>
    <t>Avance 50% HT</t>
  </si>
  <si>
    <t>RIB</t>
  </si>
  <si>
    <t>04058144008283136345</t>
  </si>
  <si>
    <t>Total Avance TTC</t>
  </si>
  <si>
    <r>
      <rPr>
        <sz val="9"/>
        <rFont val="Arial"/>
        <charset val="134"/>
      </rPr>
      <t xml:space="preserve">          </t>
    </r>
    <r>
      <rPr>
        <sz val="11"/>
        <rFont val="Arial"/>
        <charset val="134"/>
      </rPr>
      <t>IBAN</t>
    </r>
    <r>
      <rPr>
        <sz val="9"/>
        <rFont val="Arial"/>
        <charset val="134"/>
      </rPr>
      <t xml:space="preserve">            TN5904058144008283136345</t>
    </r>
  </si>
  <si>
    <t>Domiciliation : Attijari Bank Tunis</t>
  </si>
  <si>
    <t xml:space="preserve">Arrêté la présente FACTURE à la somme de trois mille sept cent trente huit dinars cinq cent millimes tunisiens
</t>
  </si>
  <si>
    <t>Thank you for your business!</t>
  </si>
  <si>
    <t xml:space="preserve"> DEVIS</t>
  </si>
  <si>
    <t>Devis #:</t>
  </si>
  <si>
    <t>DEV25-12</t>
  </si>
  <si>
    <t xml:space="preserve">Nom  </t>
  </si>
  <si>
    <t>Lilas</t>
  </si>
  <si>
    <t>SB-01</t>
  </si>
  <si>
    <t>Stylo Blanc 1</t>
  </si>
  <si>
    <t>Personnalisation</t>
  </si>
  <si>
    <t>Les modes de paiement acceptés incluent le chèque et le virement bancaire</t>
  </si>
  <si>
    <t xml:space="preserve"> Banque  </t>
  </si>
  <si>
    <t xml:space="preserve">Agence </t>
  </si>
  <si>
    <t xml:space="preserve">Compte </t>
  </si>
  <si>
    <t>Clé</t>
  </si>
  <si>
    <t>Total TTC</t>
  </si>
  <si>
    <t>1440082831363       3</t>
  </si>
  <si>
    <t>Mode de paiement : 30% à l'avance 70% à la livraison</t>
  </si>
  <si>
    <t xml:space="preserve">  IBAN TN5904058144008283136345</t>
  </si>
  <si>
    <t>Arrêté le présent DEVIS à la somme de deux mille six cent soixante huit dinars cinq cent millimes tunisiens</t>
  </si>
  <si>
    <t>Nom Client</t>
  </si>
  <si>
    <t>MF</t>
  </si>
  <si>
    <t>Attijari Bank</t>
  </si>
  <si>
    <t>24 Av Hedi Karray, Tunis 1080</t>
  </si>
  <si>
    <t>000121J/P/M000</t>
  </si>
  <si>
    <t>Attijari Leasing</t>
  </si>
  <si>
    <t>Rue Lac d'Annecy , les Berges du Lac, 1059, Tunis</t>
  </si>
  <si>
    <t>496311P/A/M/000</t>
  </si>
  <si>
    <t>SAMFI</t>
  </si>
  <si>
    <t>Route de sousse km14, Hamman-Lif, Tunisia</t>
  </si>
  <si>
    <t>1070417 T/A/M/000</t>
  </si>
  <si>
    <t xml:space="preserve">WIFAK INTERNATIONAL BANK </t>
  </si>
  <si>
    <t>Zone D'activités Kheireddine, Les Berges du Lac III 2015 Kram</t>
  </si>
  <si>
    <t>0798651L/P/M/000</t>
  </si>
  <si>
    <t>Force Management Training</t>
  </si>
  <si>
    <t xml:space="preserve"> 63 Rue Ibn Rachiq Avenue Mohamed 5</t>
  </si>
  <si>
    <t>1566008H</t>
  </si>
  <si>
    <t>Tunis Call Center</t>
  </si>
  <si>
    <t>2 Rue d'Argentine , Tunis Belvédère , Tunis 1002 Tunisie</t>
  </si>
  <si>
    <t>0633781K/A/M/000</t>
  </si>
  <si>
    <t>Focus Tunisie</t>
  </si>
  <si>
    <t>Z.I Chotrana II, Ariana 2036, Ariana, Tunisia</t>
  </si>
  <si>
    <t>Everience</t>
  </si>
  <si>
    <t>21 rue Jérusalem، SANA Business Center, Tunis 1002</t>
  </si>
  <si>
    <t>1144512Z</t>
  </si>
  <si>
    <t>SOTIC</t>
  </si>
  <si>
    <t>152 Avenue 2 Mars GP1 KH 14 , Hammam Lif 2050</t>
  </si>
  <si>
    <t>46020C/A/M</t>
  </si>
  <si>
    <t>SIRYOS</t>
  </si>
  <si>
    <t>Rue Safia Chamia, Immobilière Khairi, 5ème étage Centre Urbain nord</t>
  </si>
  <si>
    <t>5 Rue de l'énergie éolienne ZI Charguia 1 , Tunis Carthage 2035</t>
  </si>
  <si>
    <t>492586 Z/A/M/000</t>
  </si>
  <si>
    <t>Rue du Lac d'Annecy , Tunis 1053</t>
  </si>
  <si>
    <t>0048074BNM00</t>
  </si>
  <si>
    <t>Numéro Facture</t>
  </si>
  <si>
    <t>Description</t>
  </si>
  <si>
    <t>Fournisseurs</t>
  </si>
  <si>
    <t>Montant HT</t>
  </si>
  <si>
    <t xml:space="preserve">Date </t>
  </si>
  <si>
    <t>Numéro Chéque</t>
  </si>
  <si>
    <t>Montant TTC</t>
  </si>
  <si>
    <t>Achat 100 coffrets diffiseurs</t>
  </si>
  <si>
    <t>myprint</t>
  </si>
  <si>
    <t>Avance Emballage</t>
  </si>
  <si>
    <t>MyPrint</t>
  </si>
  <si>
    <t>Achat Rollup+flyers</t>
  </si>
  <si>
    <t>Helmi abassi</t>
  </si>
  <si>
    <t>Parfum Moez</t>
  </si>
  <si>
    <t>Moez</t>
  </si>
  <si>
    <t>Achat 250 Sacs</t>
  </si>
  <si>
    <t>Ben Ghorbel Kawther</t>
  </si>
  <si>
    <t>Montant restant Emballage</t>
  </si>
  <si>
    <t>ac073/24</t>
  </si>
  <si>
    <t xml:space="preserve">Honoraires commissaire </t>
  </si>
  <si>
    <t>Fethi Hamrouni</t>
  </si>
  <si>
    <t>Flyers et rollup</t>
  </si>
  <si>
    <t>Helmi</t>
  </si>
  <si>
    <t>Foire Sousse</t>
  </si>
  <si>
    <t>Sousse</t>
  </si>
  <si>
    <t>Avance Fethi commissaire</t>
  </si>
  <si>
    <t>Fethi hamrouni</t>
  </si>
  <si>
    <t>Sofien + RNE</t>
  </si>
  <si>
    <t>Sofiene Cherif</t>
  </si>
  <si>
    <t xml:space="preserve">Client </t>
  </si>
  <si>
    <t>FAC24-010</t>
  </si>
  <si>
    <t xml:space="preserve">2 Coffrets à Thé </t>
  </si>
  <si>
    <t>FAC24-011</t>
  </si>
  <si>
    <t>Facture Hanine SAMFI</t>
  </si>
  <si>
    <t xml:space="preserve">FAC24-012	</t>
  </si>
  <si>
    <t>QR CODE EN BOIS</t>
  </si>
  <si>
    <t>FAC24-013</t>
  </si>
  <si>
    <t>FAC24-014</t>
  </si>
  <si>
    <t>Facture Ness bekri 9alou</t>
  </si>
  <si>
    <t>Force Management</t>
  </si>
  <si>
    <t>FAC24-015</t>
  </si>
  <si>
    <t>Facture 600 porte clés</t>
  </si>
  <si>
    <t>FAC24-016</t>
  </si>
  <si>
    <t>FAC24-017</t>
  </si>
  <si>
    <t>FAC24-018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</si>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</sst>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(&quot;€&quot;* #,##0.00_);_(&quot;€&quot;* \(#,##0.00\);_(&quot;€&quot;* &quot;-&quot;??_);_(@_)"/>
    <numFmt numFmtId="177" formatCode="_-&quot;€&quot;* #,##0_-;\-&quot;€&quot;* #,##0_-;_-&quot;€&quot;* \-_-;_-@_-"/>
    <numFmt numFmtId="178" formatCode="_-* #,##0.00\ [$TND]_-;\-* #,##0.00\ [$TND]_-;_-* &quot;-&quot;??\ [$TND]_-;_-@_-"/>
    <numFmt numFmtId="179" formatCode="_-* #,##0.000\ [$TND]_-;\-* #,##0.000\ [$TND]_-;_-* &quot;-&quot;??\ [$TND]_-;_-@_-"/>
  </numFmts>
  <fonts count="42">
    <font>
      <sz val="10"/>
      <name val="Arial"/>
      <charset val="134"/>
    </font>
    <font>
      <b/>
      <sz val="11"/>
      <color rgb="FFFFFFFF"/>
      <name val="Arial"/>
      <charset val="134"/>
    </font>
    <font>
      <sz val="10"/>
      <color theme="1"/>
      <name val="Calibri"/>
      <charset val="134"/>
      <scheme val="minor"/>
    </font>
    <font>
      <b/>
      <sz val="10"/>
      <name val="Arial"/>
      <charset val="134"/>
    </font>
    <font>
      <sz val="24"/>
      <name val="Arial"/>
      <charset val="134"/>
    </font>
    <font>
      <b/>
      <sz val="12"/>
      <color indexed="55"/>
      <name val="Arial"/>
      <charset val="134"/>
    </font>
    <font>
      <b/>
      <sz val="24"/>
      <color indexed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9"/>
      <name val="Arial"/>
      <charset val="134"/>
    </font>
    <font>
      <sz val="7.5"/>
      <name val="Arial"/>
      <charset val="134"/>
    </font>
    <font>
      <sz val="8"/>
      <color indexed="18"/>
      <name val="Arial"/>
      <charset val="134"/>
    </font>
    <font>
      <b/>
      <sz val="10"/>
      <color indexed="9"/>
      <name val="Arial"/>
      <charset val="134"/>
    </font>
    <font>
      <sz val="11"/>
      <name val="Arial"/>
      <charset val="134"/>
    </font>
    <font>
      <b/>
      <sz val="11"/>
      <color indexed="9"/>
      <name val="Arial"/>
      <charset val="134"/>
    </font>
    <font>
      <b/>
      <sz val="11"/>
      <name val="Arial"/>
      <charset val="134"/>
    </font>
    <font>
      <sz val="11"/>
      <name val="Calibri"/>
      <charset val="134"/>
    </font>
    <font>
      <sz val="10"/>
      <name val="Calibri"/>
      <charset val="134"/>
    </font>
    <font>
      <sz val="10"/>
      <color indexed="18"/>
      <name val="Arial"/>
      <charset val="134"/>
    </font>
    <font>
      <sz val="28"/>
      <color indexed="18"/>
      <name val="Arial"/>
      <charset val="134"/>
    </font>
    <font>
      <b/>
      <sz val="14"/>
      <color indexed="9"/>
      <name val="Arial"/>
      <charset val="134"/>
    </font>
    <font>
      <sz val="10"/>
      <color indexed="23"/>
      <name val="Arial"/>
      <charset val="134"/>
    </font>
    <font>
      <u/>
      <sz val="10"/>
      <color indexed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4269"/>
        <bgColor rgb="FF004269"/>
      </patternFill>
    </fill>
    <fill>
      <patternFill patternType="solid">
        <fgColor rgb="FFFFFF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55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55"/>
      </left>
      <right/>
      <top style="thin">
        <color indexed="9"/>
      </top>
      <bottom/>
      <diagonal/>
    </border>
    <border>
      <left style="thin">
        <color indexed="55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55"/>
      </bottom>
      <diagonal/>
    </border>
    <border>
      <left/>
      <right/>
      <top style="thin">
        <color auto="1"/>
      </top>
      <bottom style="thin">
        <color indexed="55"/>
      </bottom>
      <diagonal/>
    </border>
    <border>
      <left/>
      <right style="thin">
        <color auto="1"/>
      </right>
      <top style="thin">
        <color auto="1"/>
      </top>
      <bottom style="thin">
        <color indexed="55"/>
      </bottom>
      <diagonal/>
    </border>
    <border>
      <left style="thin">
        <color auto="1"/>
      </left>
      <right/>
      <top style="thin">
        <color indexed="55"/>
      </top>
      <bottom/>
      <diagonal/>
    </border>
    <border>
      <left/>
      <right style="thin">
        <color auto="1"/>
      </right>
      <top style="thin">
        <color indexed="55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indexed="9"/>
      </top>
      <bottom/>
      <diagonal/>
    </border>
    <border>
      <left/>
      <right style="thin">
        <color auto="1"/>
      </right>
      <top style="thin">
        <color indexed="9"/>
      </top>
      <bottom/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9"/>
      </left>
      <right/>
      <top style="hair">
        <color indexed="18"/>
      </top>
      <bottom style="thin">
        <color indexed="9"/>
      </bottom>
      <diagonal/>
    </border>
    <border>
      <left/>
      <right/>
      <top style="hair">
        <color indexed="1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 style="thin">
        <color indexed="55"/>
      </right>
      <top/>
      <bottom style="thin">
        <color indexed="9"/>
      </bottom>
      <diagonal/>
    </border>
    <border>
      <left style="thin">
        <color indexed="55"/>
      </left>
      <right/>
      <top/>
      <bottom style="thin">
        <color indexed="9"/>
      </bottom>
      <diagonal/>
    </border>
    <border>
      <left/>
      <right style="thin">
        <color indexed="55"/>
      </right>
      <top style="thin">
        <color indexed="9"/>
      </top>
      <bottom style="thin">
        <color indexed="9"/>
      </bottom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 style="thin">
        <color indexed="55"/>
      </top>
      <bottom style="thin">
        <color theme="2"/>
      </bottom>
      <diagonal/>
    </border>
    <border>
      <left/>
      <right style="thin">
        <color indexed="55"/>
      </right>
      <top style="thin">
        <color indexed="55"/>
      </top>
      <bottom style="thin">
        <color theme="2"/>
      </bottom>
      <diagonal/>
    </border>
    <border>
      <left style="thin">
        <color indexed="55"/>
      </left>
      <right/>
      <top style="thin">
        <color theme="2"/>
      </top>
      <bottom style="thin">
        <color indexed="55"/>
      </bottom>
      <diagonal/>
    </border>
    <border>
      <left/>
      <right style="thin">
        <color indexed="55"/>
      </right>
      <top style="thin">
        <color theme="2"/>
      </top>
      <bottom style="thin">
        <color indexed="55"/>
      </bottom>
      <diagonal/>
    </border>
    <border>
      <left/>
      <right style="thin">
        <color indexed="9"/>
      </right>
      <top style="hair">
        <color indexed="18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 style="hair">
        <color indexed="18"/>
      </bottom>
      <diagonal/>
    </border>
    <border>
      <left/>
      <right/>
      <top style="thin">
        <color indexed="9"/>
      </top>
      <bottom style="hair">
        <color indexed="18"/>
      </bottom>
      <diagonal/>
    </border>
    <border>
      <left/>
      <right style="thin">
        <color indexed="9"/>
      </right>
      <top style="thin">
        <color indexed="9"/>
      </top>
      <bottom style="hair">
        <color indexed="1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177" fontId="2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center"/>
    </xf>
    <xf numFmtId="0" fontId="23" fillId="6" borderId="5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56" applyNumberFormat="0" applyFill="0" applyAlignment="0" applyProtection="0">
      <alignment vertical="center"/>
    </xf>
    <xf numFmtId="0" fontId="29" fillId="0" borderId="56" applyNumberFormat="0" applyFill="0" applyAlignment="0" applyProtection="0">
      <alignment vertical="center"/>
    </xf>
    <xf numFmtId="0" fontId="30" fillId="0" borderId="5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7" borderId="58" applyNumberFormat="0" applyAlignment="0" applyProtection="0">
      <alignment vertical="center"/>
    </xf>
    <xf numFmtId="0" fontId="32" fillId="8" borderId="59" applyNumberFormat="0" applyAlignment="0" applyProtection="0">
      <alignment vertical="center"/>
    </xf>
    <xf numFmtId="0" fontId="33" fillId="8" borderId="58" applyNumberFormat="0" applyAlignment="0" applyProtection="0">
      <alignment vertical="center"/>
    </xf>
    <xf numFmtId="0" fontId="34" fillId="9" borderId="60" applyNumberFormat="0" applyAlignment="0" applyProtection="0">
      <alignment vertical="center"/>
    </xf>
    <xf numFmtId="0" fontId="35" fillId="0" borderId="61" applyNumberFormat="0" applyFill="0" applyAlignment="0" applyProtection="0">
      <alignment vertical="center"/>
    </xf>
    <xf numFmtId="0" fontId="36" fillId="0" borderId="62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</cellStyleXfs>
  <cellXfs count="26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58" fontId="2" fillId="0" borderId="0" xfId="0" applyNumberFormat="1" applyFont="1"/>
    <xf numFmtId="58" fontId="0" fillId="0" borderId="0" xfId="0" applyNumberFormat="1"/>
    <xf numFmtId="0" fontId="0" fillId="0" borderId="0" xfId="0" applyFont="1"/>
    <xf numFmtId="0" fontId="1" fillId="2" borderId="1" xfId="0" applyFont="1" applyFill="1" applyBorder="1" applyAlignment="1">
      <alignment vertical="center" wrapText="1"/>
    </xf>
    <xf numFmtId="0" fontId="3" fillId="0" borderId="0" xfId="0" applyFont="1"/>
    <xf numFmtId="0" fontId="0" fillId="3" borderId="0" xfId="0" applyFont="1" applyFill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4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15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 vertical="center" wrapText="1"/>
    </xf>
    <xf numFmtId="2" fontId="13" fillId="0" borderId="14" xfId="0" applyNumberFormat="1" applyFont="1" applyBorder="1" applyAlignment="1">
      <alignment horizontal="center" vertical="center"/>
    </xf>
    <xf numFmtId="2" fontId="13" fillId="0" borderId="16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 vertical="center"/>
    </xf>
    <xf numFmtId="2" fontId="0" fillId="0" borderId="14" xfId="0" applyNumberFormat="1" applyFont="1" applyBorder="1" applyAlignment="1">
      <alignment horizontal="center" vertical="center"/>
    </xf>
    <xf numFmtId="2" fontId="0" fillId="0" borderId="1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7" xfId="0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2" fontId="0" fillId="0" borderId="18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0" fillId="0" borderId="24" xfId="0" applyFont="1" applyBorder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8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3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58" fontId="0" fillId="0" borderId="35" xfId="0" applyNumberFormat="1" applyFont="1" applyBorder="1" applyAlignment="1">
      <alignment horizontal="center" vertical="center"/>
    </xf>
    <xf numFmtId="58" fontId="0" fillId="0" borderId="36" xfId="0" applyNumberFormat="1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4" fillId="4" borderId="37" xfId="0" applyFont="1" applyFill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178" fontId="13" fillId="0" borderId="39" xfId="0" applyNumberFormat="1" applyFont="1" applyBorder="1" applyAlignment="1">
      <alignment horizontal="center" vertical="center"/>
    </xf>
    <xf numFmtId="178" fontId="13" fillId="0" borderId="38" xfId="0" applyNumberFormat="1" applyFont="1" applyBorder="1" applyAlignment="1">
      <alignment horizontal="center" vertical="center"/>
    </xf>
    <xf numFmtId="178" fontId="13" fillId="0" borderId="15" xfId="0" applyNumberFormat="1" applyFont="1" applyBorder="1" applyAlignment="1">
      <alignment horizontal="center" vertical="center"/>
    </xf>
    <xf numFmtId="178" fontId="13" fillId="0" borderId="40" xfId="0" applyNumberFormat="1" applyFont="1" applyBorder="1" applyAlignment="1">
      <alignment horizontal="center" vertical="center"/>
    </xf>
    <xf numFmtId="2" fontId="0" fillId="0" borderId="38" xfId="0" applyNumberFormat="1" applyFont="1" applyBorder="1" applyAlignment="1">
      <alignment horizontal="center" vertical="center"/>
    </xf>
    <xf numFmtId="178" fontId="0" fillId="0" borderId="39" xfId="0" applyNumberFormat="1" applyFont="1" applyBorder="1" applyAlignment="1">
      <alignment horizontal="center" vertical="center"/>
    </xf>
    <xf numFmtId="178" fontId="0" fillId="0" borderId="38" xfId="0" applyNumberFormat="1" applyFont="1" applyBorder="1" applyAlignment="1">
      <alignment horizontal="center" vertical="center"/>
    </xf>
    <xf numFmtId="2" fontId="0" fillId="0" borderId="40" xfId="0" applyNumberFormat="1" applyFont="1" applyBorder="1" applyAlignment="1">
      <alignment horizontal="center" vertical="center"/>
    </xf>
    <xf numFmtId="2" fontId="0" fillId="0" borderId="41" xfId="0" applyNumberFormat="1" applyFont="1" applyBorder="1" applyAlignment="1">
      <alignment horizontal="center" vertical="center"/>
    </xf>
    <xf numFmtId="178" fontId="0" fillId="0" borderId="18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178" fontId="8" fillId="0" borderId="42" xfId="2" applyNumberFormat="1" applyFont="1" applyBorder="1" applyAlignment="1">
      <alignment horizontal="center" vertical="center"/>
    </xf>
    <xf numFmtId="178" fontId="8" fillId="0" borderId="43" xfId="2" applyNumberFormat="1" applyFont="1" applyBorder="1" applyAlignment="1">
      <alignment horizontal="center" vertical="center"/>
    </xf>
    <xf numFmtId="10" fontId="13" fillId="0" borderId="35" xfId="0" applyNumberFormat="1" applyFont="1" applyBorder="1" applyAlignment="1">
      <alignment horizontal="center" vertical="center"/>
    </xf>
    <xf numFmtId="10" fontId="13" fillId="0" borderId="36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78" fontId="8" fillId="0" borderId="44" xfId="2" applyNumberFormat="1" applyFont="1" applyBorder="1" applyAlignment="1">
      <alignment horizontal="center" vertical="center"/>
    </xf>
    <xf numFmtId="178" fontId="8" fillId="0" borderId="45" xfId="2" applyNumberFormat="1" applyFont="1" applyBorder="1" applyAlignment="1">
      <alignment horizontal="center" vertical="center"/>
    </xf>
    <xf numFmtId="2" fontId="13" fillId="0" borderId="35" xfId="0" applyNumberFormat="1" applyFont="1" applyBorder="1" applyAlignment="1">
      <alignment horizontal="center" vertical="center"/>
    </xf>
    <xf numFmtId="2" fontId="13" fillId="0" borderId="36" xfId="0" applyNumberFormat="1" applyFont="1" applyBorder="1" applyAlignment="1">
      <alignment horizontal="center" vertical="center"/>
    </xf>
    <xf numFmtId="9" fontId="13" fillId="0" borderId="35" xfId="0" applyNumberFormat="1" applyFont="1" applyBorder="1" applyAlignment="1">
      <alignment horizontal="center" vertical="center"/>
    </xf>
    <xf numFmtId="9" fontId="13" fillId="0" borderId="36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78" fontId="8" fillId="0" borderId="35" xfId="2" applyNumberFormat="1" applyFont="1" applyBorder="1" applyAlignment="1">
      <alignment horizontal="center" vertical="center"/>
    </xf>
    <xf numFmtId="178" fontId="8" fillId="0" borderId="36" xfId="2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4" fillId="0" borderId="2" xfId="0" applyFont="1" applyBorder="1" applyAlignment="1">
      <alignment horizontal="left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2" xfId="0" applyFont="1" applyBorder="1"/>
    <xf numFmtId="0" fontId="0" fillId="0" borderId="5" xfId="0" applyBorder="1"/>
    <xf numFmtId="0" fontId="7" fillId="0" borderId="5" xfId="0" applyFont="1" applyBorder="1" applyAlignment="1">
      <alignment horizontal="left" indent="1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/>
    <xf numFmtId="0" fontId="11" fillId="0" borderId="2" xfId="0" applyFont="1" applyBorder="1" applyAlignment="1">
      <alignment horizontal="left"/>
    </xf>
    <xf numFmtId="0" fontId="12" fillId="4" borderId="2" xfId="0" applyFont="1" applyFill="1" applyBorder="1" applyAlignment="1">
      <alignment horizontal="left" vertical="center" indent="1"/>
    </xf>
    <xf numFmtId="0" fontId="13" fillId="0" borderId="2" xfId="0" applyFont="1" applyBorder="1" applyAlignment="1">
      <alignment vertical="center"/>
    </xf>
    <xf numFmtId="0" fontId="13" fillId="0" borderId="1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indent="1"/>
    </xf>
    <xf numFmtId="0" fontId="11" fillId="0" borderId="0" xfId="0" applyFont="1" applyAlignment="1">
      <alignment horizontal="left"/>
    </xf>
    <xf numFmtId="0" fontId="0" fillId="0" borderId="0" xfId="0" applyAlignment="1">
      <alignment vertical="center"/>
    </xf>
    <xf numFmtId="0" fontId="14" fillId="4" borderId="12" xfId="0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2" fontId="13" fillId="0" borderId="14" xfId="0" applyNumberFormat="1" applyFont="1" applyBorder="1" applyAlignment="1">
      <alignment horizontal="center" vertical="center" wrapText="1"/>
    </xf>
    <xf numFmtId="2" fontId="13" fillId="0" borderId="16" xfId="0" applyNumberFormat="1" applyFont="1" applyBorder="1" applyAlignment="1">
      <alignment vertical="center"/>
    </xf>
    <xf numFmtId="2" fontId="13" fillId="0" borderId="14" xfId="0" applyNumberFormat="1" applyFont="1" applyBorder="1" applyAlignment="1">
      <alignment vertical="center"/>
    </xf>
    <xf numFmtId="2" fontId="0" fillId="0" borderId="15" xfId="0" applyNumberFormat="1" applyFont="1" applyBorder="1" applyAlignment="1">
      <alignment vertical="center"/>
    </xf>
    <xf numFmtId="2" fontId="0" fillId="0" borderId="14" xfId="0" applyNumberFormat="1" applyFont="1" applyBorder="1" applyAlignment="1">
      <alignment vertical="center"/>
    </xf>
    <xf numFmtId="2" fontId="0" fillId="0" borderId="16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2" fontId="0" fillId="0" borderId="17" xfId="0" applyNumberFormat="1" applyFont="1" applyBorder="1" applyAlignment="1">
      <alignment vertical="center"/>
    </xf>
    <xf numFmtId="2" fontId="0" fillId="0" borderId="0" xfId="0" applyNumberFormat="1" applyFont="1" applyAlignment="1">
      <alignment vertical="center"/>
    </xf>
    <xf numFmtId="2" fontId="0" fillId="0" borderId="18" xfId="0" applyNumberFormat="1" applyFont="1" applyBorder="1" applyAlignment="1">
      <alignment vertical="center"/>
    </xf>
    <xf numFmtId="0" fontId="12" fillId="4" borderId="35" xfId="0" applyFont="1" applyFill="1" applyBorder="1" applyAlignment="1">
      <alignment horizontal="left" vertical="center" indent="1"/>
    </xf>
    <xf numFmtId="0" fontId="12" fillId="4" borderId="48" xfId="0" applyFont="1" applyFill="1" applyBorder="1" applyAlignment="1">
      <alignment horizontal="left" vertical="center" indent="1"/>
    </xf>
    <xf numFmtId="0" fontId="0" fillId="0" borderId="49" xfId="0" applyBorder="1" applyAlignment="1">
      <alignment vertical="center"/>
    </xf>
    <xf numFmtId="0" fontId="0" fillId="0" borderId="22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2" fontId="0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9" fillId="0" borderId="24" xfId="0" applyFont="1" applyBorder="1"/>
    <xf numFmtId="0" fontId="0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24" xfId="0" applyFont="1" applyBorder="1"/>
    <xf numFmtId="0" fontId="0" fillId="0" borderId="50" xfId="0" applyBorder="1" applyAlignment="1">
      <alignment vertical="center"/>
    </xf>
    <xf numFmtId="0" fontId="0" fillId="0" borderId="30" xfId="0" applyFont="1" applyBorder="1"/>
    <xf numFmtId="0" fontId="3" fillId="0" borderId="30" xfId="0" applyFont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0" fillId="0" borderId="11" xfId="0" applyBorder="1"/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/>
    </xf>
    <xf numFmtId="0" fontId="8" fillId="0" borderId="8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0" fillId="0" borderId="8" xfId="0" applyBorder="1"/>
    <xf numFmtId="0" fontId="0" fillId="0" borderId="7" xfId="0" applyBorder="1"/>
    <xf numFmtId="0" fontId="0" fillId="0" borderId="51" xfId="0" applyFont="1" applyBorder="1" applyAlignment="1">
      <alignment horizontal="center"/>
    </xf>
    <xf numFmtId="0" fontId="0" fillId="0" borderId="52" xfId="0" applyFont="1" applyBorder="1" applyAlignment="1">
      <alignment horizontal="center"/>
    </xf>
    <xf numFmtId="0" fontId="0" fillId="0" borderId="11" xfId="0" applyBorder="1" applyAlignment="1">
      <alignment vertical="center"/>
    </xf>
    <xf numFmtId="0" fontId="6" fillId="0" borderId="2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6" fillId="0" borderId="34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58" fontId="0" fillId="0" borderId="35" xfId="0" applyNumberFormat="1" applyFont="1" applyBorder="1" applyAlignment="1">
      <alignment horizontal="left" vertical="center"/>
    </xf>
    <xf numFmtId="58" fontId="0" fillId="0" borderId="36" xfId="0" applyNumberFormat="1" applyFont="1" applyBorder="1" applyAlignment="1">
      <alignment horizontal="left" vertical="center"/>
    </xf>
    <xf numFmtId="0" fontId="0" fillId="0" borderId="35" xfId="0" applyFont="1" applyBorder="1" applyAlignment="1">
      <alignment horizontal="left" vertical="center"/>
    </xf>
    <xf numFmtId="0" fontId="0" fillId="0" borderId="36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11" fillId="0" borderId="11" xfId="0" applyFont="1" applyBorder="1" applyAlignment="1">
      <alignment horizontal="left"/>
    </xf>
    <xf numFmtId="2" fontId="13" fillId="0" borderId="38" xfId="0" applyNumberFormat="1" applyFont="1" applyBorder="1" applyAlignment="1">
      <alignment horizontal="center" vertical="center"/>
    </xf>
    <xf numFmtId="2" fontId="13" fillId="0" borderId="38" xfId="0" applyNumberFormat="1" applyFont="1" applyBorder="1" applyAlignment="1">
      <alignment vertical="center"/>
    </xf>
    <xf numFmtId="178" fontId="13" fillId="0" borderId="39" xfId="0" applyNumberFormat="1" applyFont="1" applyBorder="1" applyAlignment="1">
      <alignment horizontal="right" vertical="center"/>
    </xf>
    <xf numFmtId="178" fontId="13" fillId="0" borderId="38" xfId="0" applyNumberFormat="1" applyFont="1" applyBorder="1" applyAlignment="1">
      <alignment horizontal="right" vertical="center"/>
    </xf>
    <xf numFmtId="2" fontId="0" fillId="0" borderId="40" xfId="0" applyNumberFormat="1" applyFont="1" applyBorder="1" applyAlignment="1">
      <alignment vertical="center"/>
    </xf>
    <xf numFmtId="178" fontId="0" fillId="0" borderId="39" xfId="0" applyNumberFormat="1" applyFont="1" applyBorder="1" applyAlignment="1">
      <alignment horizontal="right" vertical="center"/>
    </xf>
    <xf numFmtId="178" fontId="0" fillId="0" borderId="38" xfId="0" applyNumberFormat="1" applyFont="1" applyBorder="1" applyAlignment="1">
      <alignment horizontal="right" vertical="center"/>
    </xf>
    <xf numFmtId="2" fontId="0" fillId="0" borderId="38" xfId="0" applyNumberFormat="1" applyFont="1" applyBorder="1" applyAlignment="1">
      <alignment vertical="center"/>
    </xf>
    <xf numFmtId="2" fontId="0" fillId="0" borderId="41" xfId="0" applyNumberFormat="1" applyFont="1" applyBorder="1" applyAlignment="1">
      <alignment vertical="center"/>
    </xf>
    <xf numFmtId="178" fontId="0" fillId="0" borderId="18" xfId="0" applyNumberFormat="1" applyFont="1" applyBorder="1" applyAlignment="1">
      <alignment horizontal="right" vertical="center"/>
    </xf>
    <xf numFmtId="0" fontId="0" fillId="0" borderId="0" xfId="0" applyFont="1" applyAlignment="1">
      <alignment vertical="center"/>
    </xf>
    <xf numFmtId="0" fontId="0" fillId="0" borderId="10" xfId="0" applyFont="1" applyBorder="1" applyAlignment="1">
      <alignment vertical="center"/>
    </xf>
    <xf numFmtId="178" fontId="0" fillId="0" borderId="0" xfId="0" applyNumberFormat="1" applyFont="1" applyAlignment="1">
      <alignment horizontal="righ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/>
    </xf>
    <xf numFmtId="179" fontId="8" fillId="0" borderId="35" xfId="2" applyNumberFormat="1" applyFont="1" applyBorder="1" applyAlignment="1">
      <alignment horizontal="center" vertical="center"/>
    </xf>
    <xf numFmtId="179" fontId="8" fillId="0" borderId="36" xfId="2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0" fillId="0" borderId="53" xfId="0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horizontal="left" vertical="center" indent="1"/>
    </xf>
    <xf numFmtId="0" fontId="19" fillId="0" borderId="0" xfId="0" applyFont="1"/>
    <xf numFmtId="0" fontId="20" fillId="5" borderId="0" xfId="0" applyFont="1" applyFill="1" applyAlignment="1">
      <alignment horizontal="left" vertical="center" indent="1"/>
    </xf>
    <xf numFmtId="0" fontId="0" fillId="0" borderId="35" xfId="0" applyFont="1" applyBorder="1" applyAlignment="1">
      <alignment horizontal="left" vertical="center" indent="1"/>
    </xf>
    <xf numFmtId="0" fontId="0" fillId="0" borderId="36" xfId="0" applyBorder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0" fillId="0" borderId="35" xfId="0" applyBorder="1" applyAlignment="1">
      <alignment horizontal="left" vertical="center" indent="1"/>
    </xf>
    <xf numFmtId="0" fontId="20" fillId="5" borderId="0" xfId="0" applyFont="1" applyFill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0" fillId="0" borderId="35" xfId="0" applyFont="1" applyBorder="1" applyAlignment="1">
      <alignment horizontal="left" vertical="center" wrapText="1" indent="1"/>
    </xf>
    <xf numFmtId="0" fontId="21" fillId="0" borderId="18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0" fillId="0" borderId="35" xfId="0" applyNumberFormat="1" applyFont="1" applyBorder="1" applyAlignment="1">
      <alignment horizontal="left" vertical="center" indent="1"/>
    </xf>
    <xf numFmtId="49" fontId="0" fillId="0" borderId="36" xfId="0" applyNumberFormat="1" applyBorder="1" applyAlignment="1">
      <alignment horizontal="left" vertical="center" indent="1"/>
    </xf>
    <xf numFmtId="49" fontId="0" fillId="0" borderId="0" xfId="0" applyNumberFormat="1" applyAlignment="1">
      <alignment horizontal="left" vertical="center"/>
    </xf>
    <xf numFmtId="49" fontId="0" fillId="0" borderId="35" xfId="0" applyNumberFormat="1" applyBorder="1" applyAlignment="1">
      <alignment horizontal="left" vertical="center" indent="1"/>
    </xf>
    <xf numFmtId="49" fontId="22" fillId="0" borderId="35" xfId="6" applyNumberFormat="1" applyBorder="1" applyAlignment="1" applyProtection="1">
      <alignment horizontal="left" vertical="center" indent="1"/>
    </xf>
    <xf numFmtId="0" fontId="0" fillId="0" borderId="48" xfId="0" applyBorder="1" applyAlignment="1">
      <alignment horizontal="center" vertical="center"/>
    </xf>
    <xf numFmtId="2" fontId="0" fillId="0" borderId="3" xfId="0" applyNumberFormat="1" applyFont="1" applyBorder="1" applyAlignment="1" quotePrefix="1">
      <alignment horizontal="center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6">
    <dxf>
      <font>
        <color indexed="63"/>
      </font>
      <fill>
        <patternFill patternType="solid">
          <bgColor indexed="55"/>
        </patternFill>
      </fill>
    </dxf>
    <dxf>
      <font>
        <color indexed="9"/>
      </font>
      <fill>
        <patternFill patternType="solid">
          <bgColor indexed="16"/>
        </patternFill>
      </fill>
    </dxf>
    <dxf>
      <font>
        <color indexed="9"/>
      </font>
      <fill>
        <patternFill patternType="solid">
          <bgColor indexed="58"/>
        </patternFill>
      </fill>
    </dxf>
    <dxf>
      <border>
        <left/>
        <right/>
        <top/>
        <bottom style="hair">
          <color indexed="63"/>
        </bottom>
      </border>
    </dxf>
    <dxf>
      <border>
        <left/>
        <right/>
        <top/>
        <bottom style="hair">
          <color indexed="16"/>
        </bottom>
      </border>
    </dxf>
    <dxf>
      <border>
        <left/>
        <right/>
        <top/>
        <bottom style="hair">
          <color indexed="58"/>
        </bottom>
      </border>
    </dxf>
    <dxf>
      <font>
        <color auto="1"/>
      </font>
    </dxf>
    <dxf>
      <font>
        <color indexed="16"/>
      </font>
    </dxf>
    <dxf>
      <font>
        <color indexed="58"/>
      </font>
    </dxf>
    <dxf>
      <fill>
        <patternFill patternType="solid">
          <bgColor indexed="22"/>
        </patternFill>
      </fill>
    </dxf>
    <dxf>
      <font>
        <color auto="1"/>
      </font>
      <fill>
        <patternFill patternType="solid">
          <bgColor indexed="55"/>
        </patternFill>
      </fill>
    </dxf>
    <dxf>
      <fill>
        <patternFill patternType="solid">
          <bgColor indexed="16"/>
        </patternFill>
      </fill>
    </dxf>
    <dxf>
      <fill>
        <patternFill patternType="solid">
          <bgColor indexed="58"/>
        </patternFill>
      </fill>
    </dxf>
    <dxf>
      <fill>
        <patternFill patternType="solid">
          <fgColor rgb="FFB2B2B2"/>
          <bgColor rgb="FFB2B2B2"/>
        </patternFill>
      </fill>
    </dxf>
    <dxf>
      <fill>
        <patternFill patternType="solid">
          <fgColor rgb="FFB3122D"/>
          <bgColor rgb="FFB3122D"/>
        </patternFill>
      </fill>
    </dxf>
    <dxf>
      <fill>
        <patternFill patternType="solid">
          <fgColor rgb="FF587F03"/>
          <bgColor rgb="FF587F0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B8E84"/>
      <rgbColor rgb="00D9EDC1"/>
      <rgbColor rgb="00336887"/>
      <rgbColor rgb="00FFF3B9"/>
      <rgbColor rgb="00EFB6B1"/>
      <rgbColor rgb="00ACD8F1"/>
      <rgbColor rgb="00B3122D"/>
      <rgbColor rgb="007FA516"/>
      <rgbColor rgb="00004269"/>
      <rgbColor rgb="00FFE14F"/>
      <rgbColor rgb="00C2ADC4"/>
      <rgbColor rgb="0059B1E2"/>
      <rgbColor rgb="00E6E6E6"/>
      <rgbColor rgb="00808080"/>
      <rgbColor rgb="00309DDB"/>
      <rgbColor rgb="00B3DB84"/>
      <rgbColor rgb="00DB8E84"/>
      <rgbColor rgb="0099779D"/>
      <rgbColor rgb="00FFE14F"/>
      <rgbColor rgb="00D9C293"/>
      <rgbColor rgb="00004269"/>
      <rgbColor rgb="00597A7B"/>
      <rgbColor rgb="00004269"/>
      <rgbColor rgb="00587F03"/>
      <rgbColor rgb="00B3122D"/>
      <rgbColor rgb="0057445A"/>
      <rgbColor rgb="00EFA143"/>
      <rgbColor rgb="006D4129"/>
      <rgbColor rgb="00309DDB"/>
      <rgbColor rgb="00DDDDDD"/>
      <rgbColor rgb="0099B3C3"/>
      <rgbColor rgb="00D6EBF8"/>
      <rgbColor rgb="00F0F8E6"/>
      <rgbColor rgb="00FFF9DC"/>
      <rgbColor rgb="00CCD9E1"/>
      <rgbColor rgb="00F8E8E6"/>
      <rgbColor rgb="00EBE4EB"/>
      <rgbColor rgb="00EED6AD"/>
      <rgbColor rgb="00668EA5"/>
      <rgbColor rgb="0083C4E9"/>
      <rgbColor rgb="00FFE772"/>
      <rgbColor rgb="00F4C80F"/>
      <rgbColor rgb="00CDAF71"/>
      <rgbColor rgb="00EFA143"/>
      <rgbColor rgb="0099779D"/>
      <rgbColor rgb="00B2B2B2"/>
      <rgbColor rgb="00309DDB"/>
      <rgbColor rgb="00B3DB84"/>
      <rgbColor rgb="00587F03"/>
      <rgbColor rgb="006D4129"/>
      <rgbColor rgb="00597A7B"/>
      <rgbColor rgb="00D6C9D8"/>
      <rgbColor rgb="0057445A"/>
      <rgbColor rgb="004D4D4D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249554</xdr:colOff>
      <xdr:row>0</xdr:row>
      <xdr:rowOff>323849</xdr:rowOff>
    </xdr:from>
    <xdr:to>
      <xdr:col>2</xdr:col>
      <xdr:colOff>708659</xdr:colOff>
      <xdr:row>6</xdr:row>
      <xdr:rowOff>147990</xdr:rowOff>
    </xdr:to>
    <xdr:pic>
      <xdr:nvPicPr>
        <xdr:cNvPr id="2" name="Imag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520" y="323215"/>
          <a:ext cx="1306830" cy="1334770"/>
        </a:xfrm>
        <a:prstGeom prst="rect">
          <a:avLst/>
        </a:prstGeom>
      </xdr:spPr>
    </xdr:pic>
    <xdr:clientData/>
  </xdr:twoCellAnchor>
  <xdr:twoCellAnchor>
    <xdr:from>
      <xdr:col>15</xdr:col>
      <xdr:colOff>571500</xdr:colOff>
      <xdr:row>9</xdr:row>
      <xdr:rowOff>104775</xdr:rowOff>
    </xdr:from>
    <xdr:to>
      <xdr:col>19</xdr:col>
      <xdr:colOff>47625</xdr:colOff>
      <xdr:row>11</xdr:row>
      <xdr:rowOff>400050</xdr:rowOff>
    </xdr:to>
    <xdr:sp macro="[0]!Module1.Macro1">
      <xdr:nvSpPr>
        <xdr:cNvPr id="3" name="ZoneTexte 2"/>
        <xdr:cNvSpPr txBox="1"/>
      </xdr:nvSpPr>
      <xdr:spPr>
        <a:xfrm>
          <a:off x="11439525" y="2167255"/>
          <a:ext cx="1914525" cy="752475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Enregistrer</a:t>
          </a:r>
          <a:endParaRPr lang="fr-FR" sz="2000">
            <a:solidFill>
              <a:schemeClr val="bg1"/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twoCellAnchor>
  <xdr:twoCellAnchor editAs="oneCell">
    <xdr:from>
      <xdr:col>16</xdr:col>
      <xdr:colOff>221528</xdr:colOff>
      <xdr:row>36</xdr:row>
      <xdr:rowOff>332844</xdr:rowOff>
    </xdr:from>
    <xdr:to>
      <xdr:col>20</xdr:col>
      <xdr:colOff>135783</xdr:colOff>
      <xdr:row>43</xdr:row>
      <xdr:rowOff>127747</xdr:rowOff>
    </xdr:to>
    <xdr:pic>
      <xdr:nvPicPr>
        <xdr:cNvPr id="5" name="Imag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8605" y="9192895"/>
          <a:ext cx="2352675" cy="1971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249554</xdr:colOff>
      <xdr:row>0</xdr:row>
      <xdr:rowOff>323849</xdr:rowOff>
    </xdr:from>
    <xdr:to>
      <xdr:col>3</xdr:col>
      <xdr:colOff>60959</xdr:colOff>
      <xdr:row>6</xdr:row>
      <xdr:rowOff>147990</xdr:rowOff>
    </xdr:to>
    <xdr:pic>
      <xdr:nvPicPr>
        <xdr:cNvPr id="2" name="Imag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995" y="323215"/>
          <a:ext cx="1306830" cy="1334770"/>
        </a:xfrm>
        <a:prstGeom prst="rect">
          <a:avLst/>
        </a:prstGeom>
      </xdr:spPr>
    </xdr:pic>
    <xdr:clientData/>
  </xdr:twoCellAnchor>
  <xdr:twoCellAnchor>
    <xdr:from>
      <xdr:col>14</xdr:col>
      <xdr:colOff>19050</xdr:colOff>
      <xdr:row>7</xdr:row>
      <xdr:rowOff>57150</xdr:rowOff>
    </xdr:from>
    <xdr:to>
      <xdr:col>17</xdr:col>
      <xdr:colOff>104775</xdr:colOff>
      <xdr:row>11</xdr:row>
      <xdr:rowOff>28575</xdr:rowOff>
    </xdr:to>
    <xdr:sp macro="[0]!Module3.Macro1">
      <xdr:nvSpPr>
        <xdr:cNvPr id="3" name="ZoneTexte 2"/>
        <xdr:cNvSpPr txBox="1"/>
      </xdr:nvSpPr>
      <xdr:spPr>
        <a:xfrm>
          <a:off x="10687050" y="1795780"/>
          <a:ext cx="1914525" cy="752475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>
              <a:solidFill>
                <a:schemeClr val="bg1"/>
              </a:solidFill>
              <a:latin typeface="Poppins" panose="00000500000000000000" pitchFamily="2" charset="0"/>
              <a:cs typeface="Poppins" panose="00000500000000000000" pitchFamily="2" charset="0"/>
            </a:rPr>
            <a:t>Enregistrer</a:t>
          </a:r>
          <a:endParaRPr lang="fr-FR" sz="2000">
            <a:solidFill>
              <a:schemeClr val="bg1"/>
            </a:solidFill>
            <a:latin typeface="Poppins" panose="00000500000000000000" pitchFamily="2" charset="0"/>
            <a:cs typeface="Poppins" panose="00000500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>
              <a:alpha val="50000"/>
            </a:srgbClr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>
              <a:alpha val="50000"/>
            </a:srgbClr>
          </a:outerShdw>
        </a:effectLst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ougui.tn/" TargetMode="External"/><Relationship Id="rId1" Type="http://schemas.openxmlformats.org/officeDocument/2006/relationships/hyperlink" Target="mailto:contact@sougui.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1"/>
  <dimension ref="A1:E32"/>
  <sheetViews>
    <sheetView showGridLines="0" topLeftCell="A3" workbookViewId="0">
      <selection activeCell="B17" sqref="B17:C17"/>
    </sheetView>
  </sheetViews>
  <sheetFormatPr defaultColWidth="9.14285714285714" defaultRowHeight="12.75" outlineLevelCol="4"/>
  <cols>
    <col min="1" max="1" width="29.4285714285714" customWidth="1"/>
    <col min="2" max="2" width="15" customWidth="1"/>
    <col min="3" max="3" width="17.8571428571429" customWidth="1"/>
    <col min="4" max="4" width="3" customWidth="1"/>
  </cols>
  <sheetData>
    <row r="1" ht="34.5" spans="1:1">
      <c r="A1" s="248" t="s">
        <v>0</v>
      </c>
    </row>
    <row r="3" s="247" customFormat="1" ht="21.95" customHeight="1" spans="1:5">
      <c r="A3" s="249" t="s">
        <v>1</v>
      </c>
      <c r="B3" s="249"/>
      <c r="C3" s="249"/>
      <c r="D3" s="249"/>
      <c r="E3" s="249"/>
    </row>
    <row r="4" ht="8.1" customHeight="1"/>
    <row r="5" s="172" customFormat="1" ht="18" customHeight="1" spans="1:5">
      <c r="A5" s="247" t="s">
        <v>2</v>
      </c>
      <c r="B5" s="250" t="s">
        <v>3</v>
      </c>
      <c r="C5" s="251"/>
      <c r="D5" s="252"/>
      <c r="E5" s="253" t="s">
        <v>4</v>
      </c>
    </row>
    <row r="6" s="172" customFormat="1" ht="18" customHeight="1" spans="1:5">
      <c r="A6" s="247" t="s">
        <v>5</v>
      </c>
      <c r="B6" s="254" t="s">
        <v>6</v>
      </c>
      <c r="C6" s="251"/>
      <c r="D6" s="252"/>
      <c r="E6" s="253" t="s">
        <v>7</v>
      </c>
    </row>
    <row r="7" s="172" customFormat="1" ht="8.1" customHeight="1" spans="1:3">
      <c r="A7" s="247"/>
      <c r="B7" s="252"/>
      <c r="C7" s="252"/>
    </row>
    <row r="8" s="172" customFormat="1" ht="21.95" customHeight="1" spans="1:5">
      <c r="A8" s="249" t="s">
        <v>8</v>
      </c>
      <c r="B8" s="255"/>
      <c r="C8" s="255"/>
      <c r="D8" s="255"/>
      <c r="E8" s="256"/>
    </row>
    <row r="9" s="172" customFormat="1" ht="8.1" customHeight="1" spans="1:4">
      <c r="A9" s="247"/>
      <c r="B9" s="252"/>
      <c r="C9" s="252"/>
      <c r="D9" s="252"/>
    </row>
    <row r="10" s="172" customFormat="1" ht="18" customHeight="1" spans="1:4">
      <c r="A10" s="247" t="s">
        <v>9</v>
      </c>
      <c r="B10" s="254">
        <v>18</v>
      </c>
      <c r="C10" s="251"/>
      <c r="D10" s="252"/>
    </row>
    <row r="11" s="172" customFormat="1" ht="18" customHeight="1" spans="1:4">
      <c r="A11" s="247" t="s">
        <v>10</v>
      </c>
      <c r="B11" s="257" t="s">
        <v>11</v>
      </c>
      <c r="C11" s="251"/>
      <c r="D11" s="252"/>
    </row>
    <row r="12" s="172" customFormat="1" ht="18" customHeight="1" spans="1:4">
      <c r="A12" s="247" t="s">
        <v>12</v>
      </c>
      <c r="B12" s="250" t="s">
        <v>13</v>
      </c>
      <c r="C12" s="251"/>
      <c r="D12" s="252"/>
    </row>
    <row r="13" s="172" customFormat="1" ht="18" customHeight="1" spans="1:5">
      <c r="A13" s="247" t="s">
        <v>14</v>
      </c>
      <c r="B13" s="250"/>
      <c r="C13" s="251"/>
      <c r="D13" s="258"/>
      <c r="E13" s="259"/>
    </row>
    <row r="14" s="172" customFormat="1" ht="18" customHeight="1" spans="1:5">
      <c r="A14" s="247" t="s">
        <v>15</v>
      </c>
      <c r="B14" s="250" t="s">
        <v>16</v>
      </c>
      <c r="C14" s="251"/>
      <c r="D14" s="258"/>
      <c r="E14" s="259"/>
    </row>
    <row r="15" s="172" customFormat="1" ht="18" customHeight="1" spans="1:4">
      <c r="A15" s="247" t="s">
        <v>17</v>
      </c>
      <c r="B15" s="260" t="s">
        <v>18</v>
      </c>
      <c r="C15" s="261"/>
      <c r="D15" s="262"/>
    </row>
    <row r="16" s="172" customFormat="1" ht="8.1" customHeight="1" spans="1:3">
      <c r="A16" s="247"/>
      <c r="B16" s="252"/>
      <c r="C16" s="252"/>
    </row>
    <row r="17" s="172" customFormat="1" ht="18" customHeight="1" spans="1:4">
      <c r="A17" s="247" t="s">
        <v>19</v>
      </c>
      <c r="B17" s="260" t="s">
        <v>20</v>
      </c>
      <c r="C17" s="261"/>
      <c r="D17" s="262"/>
    </row>
    <row r="18" s="172" customFormat="1" ht="18" customHeight="1" spans="1:4">
      <c r="A18" s="247" t="s">
        <v>21</v>
      </c>
      <c r="B18" s="263"/>
      <c r="C18" s="261"/>
      <c r="D18" s="262"/>
    </row>
    <row r="19" s="172" customFormat="1" ht="18" customHeight="1" spans="1:4">
      <c r="A19" s="247" t="s">
        <v>22</v>
      </c>
      <c r="B19" s="264" t="s">
        <v>23</v>
      </c>
      <c r="C19" s="261"/>
      <c r="D19" s="262"/>
    </row>
    <row r="20" s="172" customFormat="1" ht="18" customHeight="1" spans="1:4">
      <c r="A20" s="247" t="s">
        <v>24</v>
      </c>
      <c r="B20" s="264" t="s">
        <v>25</v>
      </c>
      <c r="C20" s="261"/>
      <c r="D20" s="262"/>
    </row>
    <row r="21" s="172" customFormat="1" spans="1:3">
      <c r="A21" s="247"/>
      <c r="B21" s="252"/>
      <c r="C21" s="252"/>
    </row>
    <row r="22" s="172" customFormat="1" ht="18" customHeight="1" spans="1:4">
      <c r="A22" s="247" t="s">
        <v>26</v>
      </c>
      <c r="B22" s="254"/>
      <c r="C22" s="251"/>
      <c r="D22" s="252"/>
    </row>
    <row r="23" s="172" customFormat="1" ht="18" customHeight="1" spans="1:4">
      <c r="A23" s="247" t="s">
        <v>27</v>
      </c>
      <c r="B23" s="263"/>
      <c r="C23" s="261"/>
      <c r="D23" s="262"/>
    </row>
    <row r="24" s="172" customFormat="1" ht="8.1" customHeight="1" spans="1:1">
      <c r="A24" s="247"/>
    </row>
    <row r="25" s="172" customFormat="1" ht="21.95" customHeight="1" spans="1:5">
      <c r="A25" s="249" t="s">
        <v>28</v>
      </c>
      <c r="B25" s="256"/>
      <c r="C25" s="256"/>
      <c r="D25" s="256"/>
      <c r="E25" s="256"/>
    </row>
    <row r="26" s="172" customFormat="1" ht="8.1" customHeight="1" spans="1:1">
      <c r="A26" s="247"/>
    </row>
    <row r="27" s="172" customFormat="1" ht="18" customHeight="1" spans="1:2">
      <c r="A27" s="247" t="s">
        <v>29</v>
      </c>
      <c r="B27" s="253" t="s">
        <v>30</v>
      </c>
    </row>
    <row r="28" s="172" customFormat="1" ht="18" customHeight="1" spans="1:2">
      <c r="A28" s="247"/>
      <c r="B28" s="265"/>
    </row>
    <row r="29" s="172" customFormat="1" ht="8.1" customHeight="1" spans="1:1">
      <c r="A29" s="247"/>
    </row>
    <row r="30" s="172" customFormat="1" ht="21.95" customHeight="1" spans="1:5">
      <c r="A30" s="249" t="s">
        <v>31</v>
      </c>
      <c r="B30" s="256"/>
      <c r="C30" s="256"/>
      <c r="D30" s="256"/>
      <c r="E30" s="256"/>
    </row>
    <row r="31" s="172" customFormat="1" ht="8.1" customHeight="1" spans="1:1">
      <c r="A31" s="247"/>
    </row>
    <row r="32" s="172" customFormat="1" ht="18" customHeight="1" spans="1:2">
      <c r="A32" s="247" t="s">
        <v>32</v>
      </c>
      <c r="B32" s="253" t="s">
        <v>33</v>
      </c>
    </row>
  </sheetData>
  <mergeCells count="17">
    <mergeCell ref="B5:C5"/>
    <mergeCell ref="B6:C6"/>
    <mergeCell ref="B8:C8"/>
    <mergeCell ref="B10:C10"/>
    <mergeCell ref="B11:C11"/>
    <mergeCell ref="B12:C12"/>
    <mergeCell ref="B13:C13"/>
    <mergeCell ref="D13:E13"/>
    <mergeCell ref="B14:C14"/>
    <mergeCell ref="D14:E14"/>
    <mergeCell ref="B15:C15"/>
    <mergeCell ref="B17:C17"/>
    <mergeCell ref="B18:C18"/>
    <mergeCell ref="B19:C19"/>
    <mergeCell ref="B20:C20"/>
    <mergeCell ref="B22:C22"/>
    <mergeCell ref="B23:C23"/>
  </mergeCells>
  <dataValidations count="3">
    <dataValidation type="list" allowBlank="1" showInputMessage="1" showErrorMessage="1" sqref="B27">
      <formula1>"Sales Tax, VAT"</formula1>
    </dataValidation>
    <dataValidation type="list" allowBlank="1" showInputMessage="1" showErrorMessage="1" prompt="Select your design from this drop down menu" sqref="B32">
      <formula1>"No Color, Blue, Red, Green"</formula1>
    </dataValidation>
    <dataValidation type="list" allowBlank="1" showInputMessage="1" showErrorMessage="1" sqref="E5:E6">
      <formula1>"Enable, Disable"</formula1>
    </dataValidation>
  </dataValidations>
  <hyperlinks>
    <hyperlink ref="B19" r:id="rId1" display="contact@sougui.tn"/>
    <hyperlink ref="B20" r:id="rId2" display="www.sougui.tn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2">
    <pageSetUpPr autoPageBreaks="0"/>
  </sheetPr>
  <dimension ref="A1:Q50"/>
  <sheetViews>
    <sheetView showGridLines="0" workbookViewId="0">
      <selection activeCell="N12" sqref="N12"/>
    </sheetView>
  </sheetViews>
  <sheetFormatPr defaultColWidth="9.14285714285714" defaultRowHeight="12.75"/>
  <cols>
    <col min="1" max="1" width="9.14285714285714" style="143"/>
    <col min="2" max="2" width="12.7142857142857" style="143" customWidth="1"/>
    <col min="3" max="3" width="14" style="143" customWidth="1"/>
    <col min="4" max="4" width="9.14285714285714" style="143"/>
    <col min="5" max="5" width="8.85714285714286" style="143" customWidth="1"/>
    <col min="6" max="6" width="11.5714285714286" style="143" customWidth="1"/>
    <col min="7" max="7" width="6.57142857142857" style="143" customWidth="1"/>
    <col min="8" max="8" width="11.7142857142857" style="143" customWidth="1"/>
    <col min="9" max="9" width="18.2857142857143" style="143" customWidth="1"/>
    <col min="10" max="10" width="1.71428571428571" style="143" customWidth="1"/>
    <col min="11" max="11" width="22.7142857142857" style="143" customWidth="1"/>
    <col min="12" max="16384" width="9.14285714285714" style="143"/>
  </cols>
  <sheetData>
    <row r="1" ht="30" spans="2:11">
      <c r="B1" s="144" t="str">
        <f>IF(Settings!$E$5="Enable",Settings!$B$5,"")</f>
        <v>SOUGUI ESHOP</v>
      </c>
      <c r="C1" s="145"/>
      <c r="D1" s="145"/>
      <c r="E1" s="145"/>
      <c r="F1" s="146"/>
      <c r="G1" s="147"/>
      <c r="H1" s="147"/>
      <c r="I1" s="147"/>
      <c r="J1" s="147"/>
      <c r="K1" s="213" t="s">
        <v>34</v>
      </c>
    </row>
    <row r="2" ht="18" customHeight="1" spans="1:11">
      <c r="A2" s="148"/>
      <c r="B2" s="149" t="str">
        <f>IF(Settings!$E$6="Enable",Settings!$B$6,"")</f>
        <v/>
      </c>
      <c r="C2" s="150"/>
      <c r="D2" s="150"/>
      <c r="E2" s="150"/>
      <c r="F2" s="151"/>
      <c r="G2" s="147"/>
      <c r="H2" s="147"/>
      <c r="I2" s="147"/>
      <c r="J2" s="147"/>
      <c r="K2" s="214"/>
    </row>
    <row r="3" s="142" customFormat="1" ht="16.9" customHeight="1" spans="1:11">
      <c r="A3" s="152"/>
      <c r="B3" s="153"/>
      <c r="C3" s="150"/>
      <c r="D3" s="150"/>
      <c r="E3" s="150"/>
      <c r="F3" s="151"/>
      <c r="G3" s="154"/>
      <c r="H3" s="154"/>
      <c r="I3" s="154"/>
      <c r="J3" s="215"/>
      <c r="K3" s="216"/>
    </row>
    <row r="4" s="142" customFormat="1" ht="18" customHeight="1" spans="2:11">
      <c r="B4" s="155"/>
      <c r="C4" s="155"/>
      <c r="D4" s="155"/>
      <c r="E4" s="155"/>
      <c r="H4" s="156" t="s">
        <v>35</v>
      </c>
      <c r="I4" s="217"/>
      <c r="J4" s="218">
        <f ca="1">TODAY()</f>
        <v>46081</v>
      </c>
      <c r="K4" s="219"/>
    </row>
    <row r="5" s="142" customFormat="1" ht="18" customHeight="1" spans="2:11">
      <c r="B5" s="157"/>
      <c r="C5" s="157"/>
      <c r="D5" s="157"/>
      <c r="E5" s="157"/>
      <c r="H5" s="156" t="s">
        <v>36</v>
      </c>
      <c r="I5" s="217"/>
      <c r="J5" s="220" t="s">
        <v>37</v>
      </c>
      <c r="K5" s="221"/>
    </row>
    <row r="6" s="142" customFormat="1" ht="18" customHeight="1" spans="2:11">
      <c r="B6" s="158"/>
      <c r="C6" s="158"/>
      <c r="D6" s="158"/>
      <c r="E6" s="158"/>
      <c r="H6" s="156" t="s">
        <v>38</v>
      </c>
      <c r="I6" s="217"/>
      <c r="J6" s="222" t="s">
        <v>39</v>
      </c>
      <c r="K6" s="223"/>
    </row>
    <row r="7" s="142" customFormat="1" ht="18" customHeight="1" spans="2:11">
      <c r="B7" s="158"/>
      <c r="C7" s="158"/>
      <c r="D7" s="158"/>
      <c r="E7" s="158"/>
      <c r="H7" s="156"/>
      <c r="I7" s="217"/>
      <c r="J7" s="156"/>
      <c r="K7" s="156"/>
    </row>
    <row r="8" ht="7.5" customHeight="1" spans="2:11">
      <c r="B8" s="159"/>
      <c r="C8" s="159"/>
      <c r="D8" s="159"/>
      <c r="E8" s="159"/>
      <c r="H8" s="160"/>
      <c r="I8" s="160"/>
      <c r="J8" s="224"/>
      <c r="K8" s="224"/>
    </row>
    <row r="9" s="142" customFormat="1" ht="18" customHeight="1" spans="2:11">
      <c r="B9" s="161" t="s">
        <v>40</v>
      </c>
      <c r="C9" s="161"/>
      <c r="D9" s="161"/>
      <c r="E9" s="161"/>
      <c r="H9" s="161" t="s">
        <v>41</v>
      </c>
      <c r="I9" s="161"/>
      <c r="J9" s="161"/>
      <c r="K9" s="161"/>
    </row>
    <row r="10" s="142" customFormat="1" ht="18" customHeight="1" spans="2:11">
      <c r="B10" s="162" t="s">
        <v>42</v>
      </c>
      <c r="C10" s="126" t="s">
        <v>43</v>
      </c>
      <c r="D10" s="163"/>
      <c r="E10" s="164"/>
      <c r="F10" s="165"/>
      <c r="G10" s="165"/>
      <c r="H10" s="24" t="s">
        <v>44</v>
      </c>
      <c r="I10" s="82" t="s">
        <v>45</v>
      </c>
      <c r="J10" s="83"/>
      <c r="K10" s="137"/>
    </row>
    <row r="11" s="142" customFormat="1" ht="18" customHeight="1" spans="2:11">
      <c r="B11" s="162" t="s">
        <v>46</v>
      </c>
      <c r="C11" s="126" t="s">
        <v>47</v>
      </c>
      <c r="D11" s="163"/>
      <c r="E11" s="164"/>
      <c r="F11" s="165"/>
      <c r="G11" s="165"/>
      <c r="H11" s="24" t="s">
        <v>48</v>
      </c>
      <c r="I11" s="126" t="e">
        <f>VLOOKUP($I$10,Adresses!A2:C10482,4,0)</f>
        <v>#REF!</v>
      </c>
      <c r="J11" s="163"/>
      <c r="K11" s="164"/>
    </row>
    <row r="12" s="142" customFormat="1" ht="39.6" customHeight="1" spans="2:11">
      <c r="B12" s="166" t="s">
        <v>49</v>
      </c>
      <c r="C12" s="167" t="s">
        <v>50</v>
      </c>
      <c r="D12" s="168"/>
      <c r="E12" s="169"/>
      <c r="F12" s="165"/>
      <c r="G12" s="165"/>
      <c r="H12" s="24" t="s">
        <v>51</v>
      </c>
      <c r="I12" s="167" t="str">
        <f>VLOOKUP($I$10,Adresses!A2:C1048576,2,0)</f>
        <v>Rue du Lac d'Annecy , Tunis 1053</v>
      </c>
      <c r="J12" s="168"/>
      <c r="K12" s="169"/>
    </row>
    <row r="13" s="142" customFormat="1" ht="18" customHeight="1" spans="2:11">
      <c r="B13" s="162" t="s">
        <v>52</v>
      </c>
      <c r="C13" s="167" t="s">
        <v>20</v>
      </c>
      <c r="D13" s="168"/>
      <c r="E13" s="169"/>
      <c r="F13" s="165"/>
      <c r="G13" s="165"/>
      <c r="H13" s="24" t="s">
        <v>52</v>
      </c>
      <c r="I13" s="167"/>
      <c r="J13" s="168"/>
      <c r="K13" s="169"/>
    </row>
    <row r="14" s="142" customFormat="1" ht="18" customHeight="1" spans="2:11">
      <c r="B14" s="170"/>
      <c r="C14" s="170"/>
      <c r="D14" s="170"/>
      <c r="E14" s="170"/>
      <c r="F14" s="165"/>
      <c r="G14" s="165"/>
      <c r="H14" s="170"/>
      <c r="I14" s="170"/>
      <c r="J14" s="170"/>
      <c r="K14" s="170"/>
    </row>
    <row r="15" ht="7.5" customHeight="1" spans="1:11">
      <c r="A15"/>
      <c r="B15" s="171"/>
      <c r="C15" s="171"/>
      <c r="D15" s="171"/>
      <c r="E15" s="171"/>
      <c r="F15"/>
      <c r="G15"/>
      <c r="H15"/>
      <c r="I15"/>
      <c r="J15"/>
      <c r="K15"/>
    </row>
    <row r="16" s="142" customFormat="1" ht="32.45" customHeight="1" spans="1:17">
      <c r="A16" s="172"/>
      <c r="B16" s="173" t="s">
        <v>53</v>
      </c>
      <c r="C16" s="41" t="s">
        <v>54</v>
      </c>
      <c r="D16" s="41"/>
      <c r="E16" s="41"/>
      <c r="F16" s="41"/>
      <c r="G16" s="41"/>
      <c r="H16" s="41" t="s">
        <v>55</v>
      </c>
      <c r="I16" s="41" t="s">
        <v>56</v>
      </c>
      <c r="J16" s="40" t="s">
        <v>57</v>
      </c>
      <c r="K16" s="107"/>
      <c r="Q16" s="246" t="s">
        <v>58</v>
      </c>
    </row>
    <row r="17" s="142" customFormat="1" ht="27" customHeight="1" spans="1:11">
      <c r="A17" s="174"/>
      <c r="B17" s="43" t="s">
        <v>59</v>
      </c>
      <c r="C17" s="44" t="s">
        <v>60</v>
      </c>
      <c r="D17" s="175"/>
      <c r="E17" s="175"/>
      <c r="F17" s="175"/>
      <c r="G17" s="175"/>
      <c r="H17" s="46">
        <v>220</v>
      </c>
      <c r="I17" s="225">
        <v>5</v>
      </c>
      <c r="J17" s="109">
        <f>H17*I17</f>
        <v>1100</v>
      </c>
      <c r="K17" s="110"/>
    </row>
    <row r="18" s="142" customFormat="1" ht="18" customHeight="1" spans="1:11">
      <c r="A18" s="174"/>
      <c r="B18" s="43" t="s">
        <v>61</v>
      </c>
      <c r="C18" s="44" t="s">
        <v>62</v>
      </c>
      <c r="D18" s="175"/>
      <c r="E18" s="175"/>
      <c r="F18" s="175"/>
      <c r="G18" s="175"/>
      <c r="H18" s="46">
        <v>170</v>
      </c>
      <c r="I18" s="225">
        <v>15</v>
      </c>
      <c r="J18" s="109">
        <v>2550</v>
      </c>
      <c r="K18" s="110"/>
    </row>
    <row r="19" s="142" customFormat="1" ht="20.25" customHeight="1" spans="1:11">
      <c r="A19" s="174"/>
      <c r="B19" s="43" t="s">
        <v>63</v>
      </c>
      <c r="C19" s="44" t="s">
        <v>64</v>
      </c>
      <c r="D19" s="175"/>
      <c r="E19" s="175"/>
      <c r="F19" s="175"/>
      <c r="G19" s="175"/>
      <c r="H19" s="46">
        <v>170</v>
      </c>
      <c r="I19" s="225">
        <v>20</v>
      </c>
      <c r="J19" s="109">
        <v>3400</v>
      </c>
      <c r="K19" s="110"/>
    </row>
    <row r="20" s="142" customFormat="1" ht="21" customHeight="1" spans="1:11">
      <c r="A20" s="174"/>
      <c r="B20" s="43" t="s">
        <v>65</v>
      </c>
      <c r="C20" s="44" t="s">
        <v>66</v>
      </c>
      <c r="D20" s="45"/>
      <c r="E20" s="45"/>
      <c r="F20" s="45"/>
      <c r="G20" s="45"/>
      <c r="H20" s="46">
        <v>425</v>
      </c>
      <c r="I20" s="225">
        <v>1</v>
      </c>
      <c r="J20" s="109">
        <v>425</v>
      </c>
      <c r="K20" s="110"/>
    </row>
    <row r="21" s="142" customFormat="1" ht="21" customHeight="1" spans="1:11">
      <c r="A21" s="174"/>
      <c r="B21" s="43"/>
      <c r="C21" s="44"/>
      <c r="D21" s="45"/>
      <c r="E21" s="45"/>
      <c r="F21" s="45"/>
      <c r="G21" s="45"/>
      <c r="H21" s="176"/>
      <c r="I21" s="226"/>
      <c r="J21" s="227"/>
      <c r="K21" s="228"/>
    </row>
    <row r="22" s="142" customFormat="1" ht="20.25" customHeight="1" spans="1:11">
      <c r="A22" s="174"/>
      <c r="B22" s="43"/>
      <c r="C22" s="47"/>
      <c r="D22" s="48"/>
      <c r="E22" s="48"/>
      <c r="F22" s="48"/>
      <c r="G22" s="48"/>
      <c r="H22" s="177"/>
      <c r="I22" s="226"/>
      <c r="J22" s="227"/>
      <c r="K22" s="228"/>
    </row>
    <row r="23" s="142" customFormat="1" ht="27.75" customHeight="1" spans="1:11">
      <c r="A23" s="174"/>
      <c r="B23" s="43"/>
      <c r="C23" s="47"/>
      <c r="D23" s="48"/>
      <c r="E23" s="48"/>
      <c r="F23" s="48"/>
      <c r="G23" s="48"/>
      <c r="H23" s="176"/>
      <c r="I23" s="226"/>
      <c r="J23" s="227"/>
      <c r="K23" s="228"/>
    </row>
    <row r="24" s="142" customFormat="1" ht="18" customHeight="1" spans="1:11">
      <c r="A24" s="174"/>
      <c r="B24" s="178"/>
      <c r="C24" s="43"/>
      <c r="D24" s="48"/>
      <c r="E24" s="48"/>
      <c r="F24" s="48"/>
      <c r="G24" s="48"/>
      <c r="H24" s="179"/>
      <c r="I24" s="229"/>
      <c r="J24" s="230"/>
      <c r="K24" s="231"/>
    </row>
    <row r="25" s="142" customFormat="1" ht="18" customHeight="1" spans="1:11">
      <c r="A25" s="174"/>
      <c r="B25" s="178"/>
      <c r="C25" s="43"/>
      <c r="D25" s="48"/>
      <c r="E25" s="48"/>
      <c r="F25" s="48"/>
      <c r="G25" s="48"/>
      <c r="H25" s="180"/>
      <c r="I25" s="232"/>
      <c r="J25" s="230"/>
      <c r="K25" s="231"/>
    </row>
    <row r="26" s="142" customFormat="1" ht="18" customHeight="1" spans="1:11">
      <c r="A26" s="174"/>
      <c r="B26" s="178"/>
      <c r="C26" s="43"/>
      <c r="D26" s="48"/>
      <c r="E26" s="48"/>
      <c r="F26" s="48"/>
      <c r="G26" s="48"/>
      <c r="H26" s="179"/>
      <c r="I26" s="229"/>
      <c r="J26" s="230"/>
      <c r="K26" s="231"/>
    </row>
    <row r="27" s="142" customFormat="1" ht="18" customHeight="1" spans="1:11">
      <c r="A27" s="174"/>
      <c r="B27" s="178"/>
      <c r="C27" s="43"/>
      <c r="D27" s="48"/>
      <c r="E27" s="48"/>
      <c r="F27" s="48"/>
      <c r="G27" s="48"/>
      <c r="H27" s="180"/>
      <c r="I27" s="232"/>
      <c r="J27" s="230"/>
      <c r="K27" s="231"/>
    </row>
    <row r="28" s="142" customFormat="1" ht="18" customHeight="1" spans="1:11">
      <c r="A28" s="174"/>
      <c r="B28" s="178"/>
      <c r="C28" s="43"/>
      <c r="D28" s="48"/>
      <c r="E28" s="48"/>
      <c r="F28" s="48"/>
      <c r="G28" s="48"/>
      <c r="H28" s="179"/>
      <c r="I28" s="229"/>
      <c r="J28" s="230"/>
      <c r="K28" s="231"/>
    </row>
    <row r="29" s="142" customFormat="1" ht="18" customHeight="1" spans="1:11">
      <c r="A29" s="174"/>
      <c r="B29" s="178"/>
      <c r="C29" s="43"/>
      <c r="D29" s="48"/>
      <c r="E29" s="48"/>
      <c r="F29" s="48"/>
      <c r="G29" s="48"/>
      <c r="H29" s="180"/>
      <c r="I29" s="232"/>
      <c r="J29" s="230"/>
      <c r="K29" s="231"/>
    </row>
    <row r="30" s="142" customFormat="1" ht="18" customHeight="1" spans="1:11">
      <c r="A30" s="174"/>
      <c r="B30" s="178"/>
      <c r="C30" s="43"/>
      <c r="D30" s="48"/>
      <c r="E30" s="48"/>
      <c r="F30" s="48"/>
      <c r="G30" s="48"/>
      <c r="H30" s="179"/>
      <c r="I30" s="229"/>
      <c r="J30" s="230"/>
      <c r="K30" s="231"/>
    </row>
    <row r="31" s="142" customFormat="1" ht="18" customHeight="1" spans="1:11">
      <c r="A31" s="181"/>
      <c r="B31" s="182"/>
      <c r="C31" s="43"/>
      <c r="D31" s="48"/>
      <c r="E31" s="48"/>
      <c r="F31" s="48"/>
      <c r="G31" s="48"/>
      <c r="H31" s="180"/>
      <c r="I31" s="233"/>
      <c r="J31" s="234"/>
      <c r="K31" s="231"/>
    </row>
    <row r="32" s="142" customFormat="1" ht="18" customHeight="1" spans="1:11">
      <c r="A32" s="172"/>
      <c r="B32" s="183"/>
      <c r="C32" s="48"/>
      <c r="D32" s="48"/>
      <c r="E32" s="48"/>
      <c r="F32" s="48"/>
      <c r="G32" s="48"/>
      <c r="H32" s="179"/>
      <c r="I32" s="183"/>
      <c r="J32" s="235"/>
      <c r="K32" s="236"/>
    </row>
    <row r="33" s="142" customFormat="1" ht="18" hidden="1" customHeight="1" spans="1:11">
      <c r="A33" s="172"/>
      <c r="B33" s="184"/>
      <c r="C33" s="52"/>
      <c r="D33" s="52"/>
      <c r="E33" s="52"/>
      <c r="F33" s="52"/>
      <c r="G33" s="52"/>
      <c r="H33" s="179"/>
      <c r="I33" s="180"/>
      <c r="J33" s="237"/>
      <c r="K33" s="237"/>
    </row>
    <row r="34" s="142" customFormat="1" ht="36" customHeight="1" spans="1:11">
      <c r="A34" s="172"/>
      <c r="B34" s="185" t="s">
        <v>67</v>
      </c>
      <c r="C34" s="186"/>
      <c r="D34" s="186"/>
      <c r="E34" s="186"/>
      <c r="F34" s="186"/>
      <c r="G34" s="186"/>
      <c r="H34" s="187"/>
      <c r="I34" s="238" t="s">
        <v>68</v>
      </c>
      <c r="J34" s="135">
        <f>SUM($J$17:$K$32)</f>
        <v>7475</v>
      </c>
      <c r="K34" s="136"/>
    </row>
    <row r="35" s="142" customFormat="1" ht="15" customHeight="1" spans="1:11">
      <c r="A35" s="172"/>
      <c r="B35" s="188" t="s">
        <v>69</v>
      </c>
      <c r="C35" s="59"/>
      <c r="D35" s="59"/>
      <c r="E35" s="59"/>
      <c r="F35" s="59"/>
      <c r="G35" s="59"/>
      <c r="H35" s="187"/>
      <c r="I35" s="239" t="s">
        <v>70</v>
      </c>
      <c r="J35" s="131">
        <v>0</v>
      </c>
      <c r="K35" s="132"/>
    </row>
    <row r="36" s="142" customFormat="1" ht="22.9" customHeight="1" spans="1:11">
      <c r="A36" s="172"/>
      <c r="B36" s="61"/>
      <c r="C36" s="62"/>
      <c r="D36" s="62"/>
      <c r="E36" s="62"/>
      <c r="F36" s="62"/>
      <c r="G36" s="62"/>
      <c r="H36" s="187"/>
      <c r="I36" s="239" t="s">
        <v>71</v>
      </c>
      <c r="J36" s="129">
        <v>1</v>
      </c>
      <c r="K36" s="130">
        <v>1</v>
      </c>
    </row>
    <row r="37" s="142" customFormat="1" ht="18.75" customHeight="1" spans="1:11">
      <c r="A37" s="181"/>
      <c r="B37" s="189" t="s">
        <v>72</v>
      </c>
      <c r="C37" s="54"/>
      <c r="D37" s="54"/>
      <c r="E37" s="54"/>
      <c r="F37" s="54"/>
      <c r="G37" s="54"/>
      <c r="H37" s="187"/>
      <c r="I37" s="240" t="s">
        <v>73</v>
      </c>
      <c r="J37" s="135">
        <f>J34*0.5</f>
        <v>3737.5</v>
      </c>
      <c r="K37" s="136"/>
    </row>
    <row r="38" s="142" customFormat="1" ht="18" customHeight="1" spans="1:11">
      <c r="A38" s="172"/>
      <c r="B38" s="67" t="s">
        <v>74</v>
      </c>
      <c r="C38" s="266" t="s">
        <v>75</v>
      </c>
      <c r="D38" s="190"/>
      <c r="E38" s="68"/>
      <c r="F38" s="68"/>
      <c r="G38" s="191"/>
      <c r="H38" s="187"/>
      <c r="I38" s="241" t="s">
        <v>76</v>
      </c>
      <c r="J38" s="242">
        <f>(J37*1)+J36</f>
        <v>3738.5</v>
      </c>
      <c r="K38" s="243"/>
    </row>
    <row r="39" s="142" customFormat="1" ht="18" customHeight="1" spans="1:11">
      <c r="A39" s="181"/>
      <c r="B39" s="192" t="s">
        <v>77</v>
      </c>
      <c r="C39" s="6"/>
      <c r="D39" s="6"/>
      <c r="E39" s="6"/>
      <c r="F39" s="193"/>
      <c r="G39" s="194"/>
      <c r="H39" s="187"/>
      <c r="I39" s="204"/>
      <c r="J39" s="204"/>
      <c r="K39" s="204"/>
    </row>
    <row r="40" s="142" customFormat="1" ht="18" customHeight="1" spans="1:11">
      <c r="A40" s="172"/>
      <c r="B40" s="195" t="s">
        <v>78</v>
      </c>
      <c r="C40" s="6"/>
      <c r="D40" s="6"/>
      <c r="E40" s="6"/>
      <c r="F40" s="193"/>
      <c r="G40" s="194"/>
      <c r="H40" s="187"/>
      <c r="I40" s="204"/>
      <c r="J40" s="204"/>
      <c r="K40" s="204"/>
    </row>
    <row r="41" s="142" customFormat="1" ht="28.15" customHeight="1" spans="1:11">
      <c r="A41" s="172"/>
      <c r="B41" s="196"/>
      <c r="C41" s="197"/>
      <c r="D41" s="197"/>
      <c r="E41" s="198"/>
      <c r="F41" s="198"/>
      <c r="G41" s="199"/>
      <c r="H41" s="187"/>
      <c r="I41" s="204"/>
      <c r="J41" s="204"/>
      <c r="K41" s="204"/>
    </row>
    <row r="42" ht="33.75" customHeight="1" spans="1:11">
      <c r="A42" s="200"/>
      <c r="B42" s="201" t="s">
        <v>79</v>
      </c>
      <c r="C42" s="202"/>
      <c r="D42" s="202"/>
      <c r="E42" s="202"/>
      <c r="F42" s="202"/>
      <c r="G42" s="203"/>
      <c r="I42" s="204"/>
      <c r="J42" s="204"/>
      <c r="K42" s="204"/>
    </row>
    <row r="43" s="142" customFormat="1" ht="29.25" customHeight="1" spans="1:11">
      <c r="A43" s="181"/>
      <c r="H43" s="204"/>
      <c r="I43" s="204"/>
      <c r="J43" s="204"/>
      <c r="K43" s="204"/>
    </row>
    <row r="44" ht="26.45" customHeight="1" spans="3:5">
      <c r="C44" s="205"/>
      <c r="D44" s="205"/>
      <c r="E44" s="205"/>
    </row>
    <row r="45" s="142" customFormat="1" ht="18" customHeight="1" spans="6:15">
      <c r="F45" s="206" t="s">
        <v>80</v>
      </c>
      <c r="G45" s="207"/>
      <c r="H45" s="207"/>
      <c r="I45" s="207"/>
      <c r="J45" s="207"/>
      <c r="K45" s="207"/>
      <c r="L45" s="207"/>
      <c r="M45" s="207"/>
      <c r="N45" s="207"/>
      <c r="O45" s="244"/>
    </row>
    <row r="46" s="142" customFormat="1" ht="18" customHeight="1" spans="2:15">
      <c r="B46" s="87" t="str">
        <f>Settings!$B$10&amp;" "&amp;Settings!$B$11&amp;", "&amp;Settings!$B$12&amp;IF(ISBLANK(Settings!$B$13),", ",", "&amp;Settings!$B$13&amp;", ")&amp;IF(ISBLANK(Settings!$B$14),"",""&amp;Settings!$B$14&amp;", ")&amp;Settings!$B$15</f>
        <v>18 Rue Mokhtar Attia , Megrine, Ben Arous, 2033</v>
      </c>
      <c r="C46" s="88"/>
      <c r="D46" s="88"/>
      <c r="E46" s="88"/>
      <c r="F46" s="88"/>
      <c r="G46" s="88"/>
      <c r="H46" s="88"/>
      <c r="I46" s="88"/>
      <c r="J46" s="88"/>
      <c r="K46" s="139"/>
      <c r="O46" s="235"/>
    </row>
    <row r="47" ht="21" customHeight="1" spans="1:11">
      <c r="A47" s="208"/>
      <c r="B47" s="29" t="str">
        <f>"Tel: "&amp;Settings!$B$17&amp;" Fax: "&amp;Settings!$B$18&amp;IF(ISBLANK(Settings!$B$19)," "," E-mail: "&amp;Settings!$B$19)&amp;IF(ISBLANK(Settings!$B$20)," "," Web: "&amp;Settings!$B$20)</f>
        <v>Tel:    +216 55 466 087 Fax:  E-mail: contact@sougui.tn Web: www.sougui.tn</v>
      </c>
      <c r="C47" s="42"/>
      <c r="D47" s="42"/>
      <c r="E47" s="42"/>
      <c r="F47" s="42"/>
      <c r="G47" s="42"/>
      <c r="H47" s="42"/>
      <c r="I47" s="42"/>
      <c r="J47" s="42"/>
      <c r="K47" s="106"/>
    </row>
    <row r="48" ht="19.15" customHeight="1" spans="1:11">
      <c r="A48" s="209"/>
      <c r="B48" s="210"/>
      <c r="C48" s="211"/>
      <c r="D48" s="211"/>
      <c r="E48" s="211"/>
      <c r="F48" s="211"/>
      <c r="G48" s="211"/>
      <c r="H48" s="211"/>
      <c r="I48" s="211"/>
      <c r="J48" s="211"/>
      <c r="K48" s="245"/>
    </row>
    <row r="49" s="142" customFormat="1" ht="18" customHeight="1" spans="1:1">
      <c r="A49" s="212"/>
    </row>
    <row r="50" s="142" customFormat="1" ht="18" customHeight="1"/>
  </sheetData>
  <mergeCells count="65">
    <mergeCell ref="B4:E4"/>
    <mergeCell ref="J4:K4"/>
    <mergeCell ref="B5:E5"/>
    <mergeCell ref="J5:K5"/>
    <mergeCell ref="J6:K6"/>
    <mergeCell ref="B9:E9"/>
    <mergeCell ref="H9:K9"/>
    <mergeCell ref="C10:E10"/>
    <mergeCell ref="I10:K10"/>
    <mergeCell ref="C11:E11"/>
    <mergeCell ref="I11:K11"/>
    <mergeCell ref="C12:E12"/>
    <mergeCell ref="I12:K12"/>
    <mergeCell ref="C13:E13"/>
    <mergeCell ref="I13:K13"/>
    <mergeCell ref="B14:E14"/>
    <mergeCell ref="H14:K14"/>
    <mergeCell ref="C16:G16"/>
    <mergeCell ref="J16:K16"/>
    <mergeCell ref="C17:G17"/>
    <mergeCell ref="J17:K17"/>
    <mergeCell ref="C18:G18"/>
    <mergeCell ref="J18:K18"/>
    <mergeCell ref="C19:G19"/>
    <mergeCell ref="J19:K19"/>
    <mergeCell ref="C20:G20"/>
    <mergeCell ref="J20:K20"/>
    <mergeCell ref="C21:G21"/>
    <mergeCell ref="J21:K21"/>
    <mergeCell ref="C22:G22"/>
    <mergeCell ref="J22:K22"/>
    <mergeCell ref="C23:G23"/>
    <mergeCell ref="J23:K23"/>
    <mergeCell ref="C24:G24"/>
    <mergeCell ref="J24:K24"/>
    <mergeCell ref="C25:G25"/>
    <mergeCell ref="J25:K25"/>
    <mergeCell ref="C26:G26"/>
    <mergeCell ref="J26:K26"/>
    <mergeCell ref="C27:G27"/>
    <mergeCell ref="J27:K27"/>
    <mergeCell ref="C28:G28"/>
    <mergeCell ref="J28:K28"/>
    <mergeCell ref="C29:G29"/>
    <mergeCell ref="J29:K29"/>
    <mergeCell ref="C30:G30"/>
    <mergeCell ref="J30:K30"/>
    <mergeCell ref="C31:G31"/>
    <mergeCell ref="J31:K31"/>
    <mergeCell ref="C32:G32"/>
    <mergeCell ref="B34:G34"/>
    <mergeCell ref="J34:K34"/>
    <mergeCell ref="J35:K35"/>
    <mergeCell ref="J36:K36"/>
    <mergeCell ref="B37:G37"/>
    <mergeCell ref="J37:K37"/>
    <mergeCell ref="C38:D38"/>
    <mergeCell ref="E38:F38"/>
    <mergeCell ref="J38:K38"/>
    <mergeCell ref="B42:G42"/>
    <mergeCell ref="F45:O45"/>
    <mergeCell ref="B46:K46"/>
    <mergeCell ref="B47:K47"/>
    <mergeCell ref="B48:K48"/>
    <mergeCell ref="B35:G36"/>
  </mergeCells>
  <conditionalFormatting sqref="J16:K16">
    <cfRule type="expression" dxfId="0" priority="44" stopIfTrue="1">
      <formula>IF(#REF!="No Color",TRUE,FALSE)</formula>
    </cfRule>
    <cfRule type="expression" dxfId="1" priority="45" stopIfTrue="1">
      <formula>IF(#REF!="Red",TRUE,FALSE)</formula>
    </cfRule>
    <cfRule type="expression" dxfId="2" priority="46" stopIfTrue="1">
      <formula>IF(#REF!="Green",TRUE,FALSE)</formula>
    </cfRule>
  </conditionalFormatting>
  <conditionalFormatting sqref="B48:K48">
    <cfRule type="expression" dxfId="3" priority="41" stopIfTrue="1">
      <formula>IF(#REF!="No Color",TRUE,FALSE)</formula>
    </cfRule>
    <cfRule type="expression" dxfId="4" priority="42" stopIfTrue="1">
      <formula>IF(#REF!="Red",TRUE,FALSE)</formula>
    </cfRule>
    <cfRule type="expression" dxfId="5" priority="43" stopIfTrue="1">
      <formula>IF(#REF!="Green",TRUE,FALSE)</formula>
    </cfRule>
  </conditionalFormatting>
  <conditionalFormatting sqref="K1:K3">
    <cfRule type="expression" dxfId="6" priority="5" stopIfTrue="1">
      <formula>IF(#REF!="No Color",TRUE,FALSE)</formula>
    </cfRule>
    <cfRule type="expression" dxfId="7" priority="6" stopIfTrue="1">
      <formula>IF(#REF!="Red",TRUE,FALSE)</formula>
    </cfRule>
    <cfRule type="expression" dxfId="8" priority="7" stopIfTrue="1">
      <formula>IF(#REF!="Green",TRUE,FALSE)</formula>
    </cfRule>
  </conditionalFormatting>
  <dataValidations count="6">
    <dataValidation allowBlank="1" showInputMessage="1" showErrorMessage="1" prompt="Enter the invoice date, currently using =TODAY() to display today's date automatically" sqref="J4:K4"/>
    <dataValidation allowBlank="1" showInputMessage="1" showErrorMessage="1" prompt="Enter the invoice number" sqref="J5:K5"/>
    <dataValidation allowBlank="1" showInputMessage="1" showErrorMessage="1" prompt="Enter the Customer ID when or if applicable" sqref="J6:K6"/>
    <dataValidation allowBlank="1" showInputMessage="1" showErrorMessage="1" prompt="Enter the Purchase Order Number when or if applicable" sqref="J7:K7"/>
    <dataValidation type="list" allowBlank="1" showInputMessage="1" showErrorMessage="1" sqref="I10:K10">
      <formula1>Adresses!$A$2:$A$1048576</formula1>
    </dataValidation>
    <dataValidation allowBlank="1" showInputMessage="1" showErrorMessage="1" prompt="Enter the amounts in these cells.&#10;Amounts can also be entered in the cells by using simple formula, such as =4*10 when needed" sqref="J17:K33"/>
  </dataValidations>
  <pageMargins left="0.354330708661417" right="0.354330708661417" top="0.196850393700787" bottom="0.196850393700787" header="0.511811023622047" footer="0.511811023622047"/>
  <pageSetup paperSize="9" scale="81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3">
    <pageSetUpPr autoPageBreaks="0"/>
  </sheetPr>
  <dimension ref="A1:P53"/>
  <sheetViews>
    <sheetView showGridLines="0" workbookViewId="0">
      <selection activeCell="P19" sqref="P19"/>
    </sheetView>
  </sheetViews>
  <sheetFormatPr defaultColWidth="9.14285714285714" defaultRowHeight="12.75"/>
  <cols>
    <col min="1" max="1" width="14.7142857142857" style="11" customWidth="1"/>
    <col min="2" max="2" width="10.4285714285714" style="11" customWidth="1"/>
    <col min="3" max="3" width="12" style="11" customWidth="1"/>
    <col min="4" max="4" width="14.1428571428571" style="11" customWidth="1"/>
    <col min="5" max="5" width="5.28571428571429" style="11" customWidth="1"/>
    <col min="6" max="6" width="11.5714285714286" style="11" customWidth="1"/>
    <col min="7" max="7" width="11" style="11" customWidth="1"/>
    <col min="8" max="8" width="15.7142857142857" style="11" customWidth="1"/>
    <col min="9" max="9" width="19.1428571428571" style="11" customWidth="1"/>
    <col min="10" max="10" width="10" style="11" customWidth="1"/>
    <col min="11" max="11" width="8.57142857142857" style="11" customWidth="1"/>
    <col min="12" max="16384" width="9.14285714285714" style="11"/>
  </cols>
  <sheetData>
    <row r="1" ht="30" spans="3:10">
      <c r="C1" s="12" t="str">
        <f>IF(Settings!$E$5="Enable",Settings!$B$5,"")</f>
        <v>SOUGUI ESHOP</v>
      </c>
      <c r="D1" s="13"/>
      <c r="E1" s="13"/>
      <c r="F1" s="14"/>
      <c r="G1" s="15"/>
      <c r="H1" s="15"/>
      <c r="I1" s="15"/>
      <c r="J1" s="15" t="s">
        <v>81</v>
      </c>
    </row>
    <row r="2" ht="18" customHeight="1" spans="1:11">
      <c r="A2" s="16"/>
      <c r="B2" s="17" t="str">
        <f>IF(Settings!$E$6="Enable",Settings!$B$6,"")</f>
        <v/>
      </c>
      <c r="C2" s="18"/>
      <c r="D2" s="18"/>
      <c r="E2" s="18"/>
      <c r="F2" s="19"/>
      <c r="G2" s="15"/>
      <c r="H2" s="15"/>
      <c r="I2" s="15"/>
      <c r="J2" s="15"/>
      <c r="K2" s="95"/>
    </row>
    <row r="3" s="10" customFormat="1" ht="16.9" customHeight="1" spans="1:11">
      <c r="A3" s="20"/>
      <c r="B3" s="21"/>
      <c r="C3" s="18"/>
      <c r="D3" s="18"/>
      <c r="E3" s="18"/>
      <c r="F3" s="19"/>
      <c r="G3" s="22"/>
      <c r="H3" s="22"/>
      <c r="I3" s="22"/>
      <c r="J3" s="96"/>
      <c r="K3" s="97"/>
    </row>
    <row r="4" s="10" customFormat="1" ht="18" customHeight="1" spans="2:11">
      <c r="B4" s="23"/>
      <c r="C4" s="23"/>
      <c r="D4" s="23"/>
      <c r="E4" s="23"/>
      <c r="H4" s="24" t="s">
        <v>35</v>
      </c>
      <c r="I4" s="32"/>
      <c r="J4" s="98">
        <f ca="1">TODAY()</f>
        <v>46081</v>
      </c>
      <c r="K4" s="99"/>
    </row>
    <row r="5" s="10" customFormat="1" ht="18" customHeight="1" spans="2:11">
      <c r="B5" s="25"/>
      <c r="C5" s="25"/>
      <c r="D5" s="25"/>
      <c r="E5" s="25"/>
      <c r="H5" s="24" t="s">
        <v>82</v>
      </c>
      <c r="I5" s="32"/>
      <c r="J5" s="100" t="s">
        <v>83</v>
      </c>
      <c r="K5" s="101"/>
    </row>
    <row r="6" s="10" customFormat="1" ht="18" customHeight="1" spans="2:11">
      <c r="B6" s="26"/>
      <c r="C6" s="26"/>
      <c r="D6" s="26"/>
      <c r="E6" s="26"/>
      <c r="H6" s="24" t="s">
        <v>38</v>
      </c>
      <c r="I6" s="32"/>
      <c r="J6" s="102" t="s">
        <v>39</v>
      </c>
      <c r="K6" s="103"/>
    </row>
    <row r="7" s="10" customFormat="1" ht="18" customHeight="1" spans="2:11">
      <c r="B7" s="26"/>
      <c r="C7" s="26"/>
      <c r="D7" s="26"/>
      <c r="E7" s="26"/>
      <c r="H7" s="24"/>
      <c r="I7" s="32"/>
      <c r="J7" s="24"/>
      <c r="K7" s="24"/>
    </row>
    <row r="8" ht="7.5" customHeight="1" spans="2:11">
      <c r="B8" s="27"/>
      <c r="C8" s="27"/>
      <c r="D8" s="27"/>
      <c r="E8" s="27"/>
      <c r="H8" s="27"/>
      <c r="I8" s="27"/>
      <c r="J8" s="104"/>
      <c r="K8" s="104"/>
    </row>
    <row r="9" s="10" customFormat="1" ht="18" customHeight="1" spans="2:11">
      <c r="B9" s="28" t="s">
        <v>40</v>
      </c>
      <c r="C9" s="28"/>
      <c r="D9" s="28"/>
      <c r="E9" s="28"/>
      <c r="H9" s="28" t="s">
        <v>41</v>
      </c>
      <c r="I9" s="28"/>
      <c r="J9" s="28"/>
      <c r="K9" s="28"/>
    </row>
    <row r="10" s="10" customFormat="1" ht="18" customHeight="1" spans="1:12">
      <c r="A10" s="29"/>
      <c r="B10" s="30" t="s">
        <v>84</v>
      </c>
      <c r="C10" s="30" t="s">
        <v>43</v>
      </c>
      <c r="D10" s="30"/>
      <c r="E10" s="30"/>
      <c r="F10" s="31"/>
      <c r="G10" s="32"/>
      <c r="H10" s="33" t="s">
        <v>44</v>
      </c>
      <c r="I10" s="105" t="s">
        <v>85</v>
      </c>
      <c r="J10" s="105"/>
      <c r="K10" s="105"/>
      <c r="L10" s="106"/>
    </row>
    <row r="11" s="10" customFormat="1" ht="18" customHeight="1" spans="1:12">
      <c r="A11" s="29"/>
      <c r="B11" s="30" t="s">
        <v>46</v>
      </c>
      <c r="C11" s="30" t="s">
        <v>47</v>
      </c>
      <c r="D11" s="30"/>
      <c r="E11" s="30"/>
      <c r="F11" s="31"/>
      <c r="G11" s="32"/>
      <c r="H11" s="33" t="s">
        <v>48</v>
      </c>
      <c r="I11" s="30" t="e">
        <f>VLOOKUP($I$10,Adresses!A2:C10482,4,0)</f>
        <v>#REF!</v>
      </c>
      <c r="J11" s="30"/>
      <c r="K11" s="30"/>
      <c r="L11" s="106"/>
    </row>
    <row r="12" s="10" customFormat="1" ht="39.6" customHeight="1" spans="1:12">
      <c r="A12" s="29"/>
      <c r="B12" s="34" t="s">
        <v>49</v>
      </c>
      <c r="C12" s="35" t="s">
        <v>50</v>
      </c>
      <c r="D12" s="35"/>
      <c r="E12" s="35"/>
      <c r="F12" s="31"/>
      <c r="G12" s="32"/>
      <c r="H12" s="33" t="s">
        <v>51</v>
      </c>
      <c r="I12" s="35" t="str">
        <f>VLOOKUP($I$10,Adresses!A2:C1048576,2,0)</f>
        <v>5 Rue de l'énergie éolienne ZI Charguia 1 , Tunis Carthage 2035</v>
      </c>
      <c r="J12" s="35"/>
      <c r="K12" s="35"/>
      <c r="L12" s="106"/>
    </row>
    <row r="13" s="10" customFormat="1" ht="18" customHeight="1" spans="1:12">
      <c r="A13" s="29"/>
      <c r="B13" s="30" t="s">
        <v>52</v>
      </c>
      <c r="C13" s="35" t="s">
        <v>20</v>
      </c>
      <c r="D13" s="35"/>
      <c r="E13" s="35"/>
      <c r="F13" s="31"/>
      <c r="G13" s="32"/>
      <c r="H13" s="33" t="s">
        <v>52</v>
      </c>
      <c r="I13" s="33" t="e">
        <f>VLOOKUP($I$10,Adresses!A2:B10482,3,0)</f>
        <v>#REF!</v>
      </c>
      <c r="J13" s="33"/>
      <c r="K13" s="33"/>
      <c r="L13" s="106"/>
    </row>
    <row r="14" s="10" customFormat="1" ht="18" customHeight="1" spans="2:11">
      <c r="B14" s="36"/>
      <c r="C14" s="36"/>
      <c r="D14" s="36"/>
      <c r="E14" s="36"/>
      <c r="F14" s="24"/>
      <c r="G14" s="24"/>
      <c r="H14" s="36"/>
      <c r="I14" s="36"/>
      <c r="J14" s="36"/>
      <c r="K14" s="36"/>
    </row>
    <row r="15" ht="3" customHeight="1" spans="1:11">
      <c r="A15" s="37"/>
      <c r="B15" s="38"/>
      <c r="C15" s="38"/>
      <c r="D15" s="38"/>
      <c r="E15" s="38"/>
      <c r="F15" s="37"/>
      <c r="G15" s="37"/>
      <c r="H15" s="37"/>
      <c r="I15" s="37"/>
      <c r="J15" s="37"/>
      <c r="K15" s="37"/>
    </row>
    <row r="16" s="10" customFormat="1" ht="38.45" customHeight="1" spans="1:11">
      <c r="A16" s="39"/>
      <c r="B16" s="40" t="s">
        <v>53</v>
      </c>
      <c r="C16" s="41" t="s">
        <v>54</v>
      </c>
      <c r="D16" s="41"/>
      <c r="E16" s="41"/>
      <c r="F16" s="41"/>
      <c r="G16" s="41"/>
      <c r="H16" s="41" t="s">
        <v>55</v>
      </c>
      <c r="I16" s="41" t="s">
        <v>56</v>
      </c>
      <c r="J16" s="40" t="s">
        <v>57</v>
      </c>
      <c r="K16" s="107"/>
    </row>
    <row r="17" s="10" customFormat="1" ht="20.1" customHeight="1" spans="1:11">
      <c r="A17" s="42"/>
      <c r="B17" s="43" t="s">
        <v>86</v>
      </c>
      <c r="C17" s="44" t="s">
        <v>87</v>
      </c>
      <c r="D17" s="45"/>
      <c r="E17" s="45"/>
      <c r="F17" s="45"/>
      <c r="G17" s="45"/>
      <c r="H17" s="46">
        <v>1.15</v>
      </c>
      <c r="I17" s="108">
        <v>1500</v>
      </c>
      <c r="J17" s="109">
        <f>IF(B17="","",H17*I17)</f>
        <v>1725</v>
      </c>
      <c r="K17" s="110"/>
    </row>
    <row r="18" s="10" customFormat="1" ht="20.1" customHeight="1" spans="1:11">
      <c r="A18" s="42"/>
      <c r="B18" s="43" t="s">
        <v>65</v>
      </c>
      <c r="C18" s="47" t="s">
        <v>88</v>
      </c>
      <c r="D18" s="45"/>
      <c r="E18" s="45"/>
      <c r="F18" s="45"/>
      <c r="G18" s="45"/>
      <c r="H18" s="45">
        <v>0.35</v>
      </c>
      <c r="I18" s="108">
        <v>1500</v>
      </c>
      <c r="J18" s="109">
        <f>IF(B18="","",H18*I18)</f>
        <v>525</v>
      </c>
      <c r="K18" s="110"/>
    </row>
    <row r="19" s="10" customFormat="1" ht="20.1" customHeight="1" spans="1:11">
      <c r="A19" s="42"/>
      <c r="B19" s="43"/>
      <c r="C19" s="47"/>
      <c r="D19" s="45"/>
      <c r="E19" s="45"/>
      <c r="F19" s="45"/>
      <c r="G19" s="45"/>
      <c r="H19" s="46"/>
      <c r="I19" s="108"/>
      <c r="J19" s="109" t="str">
        <f>IF(B19="","",H19*I19)</f>
        <v/>
      </c>
      <c r="K19" s="110"/>
    </row>
    <row r="20" s="10" customFormat="1" ht="20.1" customHeight="1" spans="1:11">
      <c r="A20" s="42"/>
      <c r="B20" s="43"/>
      <c r="C20" s="47"/>
      <c r="D20" s="45"/>
      <c r="E20" s="45"/>
      <c r="F20" s="45"/>
      <c r="G20" s="45"/>
      <c r="H20" s="45"/>
      <c r="I20" s="108"/>
      <c r="J20" s="111"/>
      <c r="K20" s="112"/>
    </row>
    <row r="21" s="10" customFormat="1" ht="20.1" customHeight="1" spans="1:11">
      <c r="A21" s="42"/>
      <c r="B21" s="43"/>
      <c r="C21" s="43"/>
      <c r="D21" s="48"/>
      <c r="E21" s="48"/>
      <c r="F21" s="48"/>
      <c r="G21" s="48"/>
      <c r="H21" s="49"/>
      <c r="I21" s="113"/>
      <c r="J21" s="114"/>
      <c r="K21" s="115"/>
    </row>
    <row r="22" s="10" customFormat="1" ht="20.1" customHeight="1" spans="1:11">
      <c r="A22" s="42"/>
      <c r="B22" s="43"/>
      <c r="C22" s="43"/>
      <c r="D22" s="48"/>
      <c r="E22" s="48"/>
      <c r="F22" s="48"/>
      <c r="G22" s="48"/>
      <c r="H22" s="48"/>
      <c r="I22" s="116"/>
      <c r="J22" s="114"/>
      <c r="K22" s="115"/>
    </row>
    <row r="23" s="10" customFormat="1" ht="20.1" customHeight="1" spans="1:11">
      <c r="A23" s="42"/>
      <c r="B23" s="43"/>
      <c r="C23" s="43"/>
      <c r="D23" s="48"/>
      <c r="E23" s="48"/>
      <c r="F23" s="48"/>
      <c r="G23" s="48"/>
      <c r="H23" s="49"/>
      <c r="I23" s="113"/>
      <c r="J23" s="114"/>
      <c r="K23" s="115"/>
    </row>
    <row r="24" s="10" customFormat="1" ht="20.1" customHeight="1" spans="1:11">
      <c r="A24" s="42"/>
      <c r="B24" s="43"/>
      <c r="C24" s="43"/>
      <c r="D24" s="48"/>
      <c r="E24" s="48"/>
      <c r="F24" s="48"/>
      <c r="G24" s="48"/>
      <c r="H24" s="48"/>
      <c r="I24" s="116"/>
      <c r="J24" s="114"/>
      <c r="K24" s="115"/>
    </row>
    <row r="25" s="10" customFormat="1" ht="20.1" customHeight="1" spans="1:11">
      <c r="A25" s="42"/>
      <c r="B25" s="43"/>
      <c r="C25" s="43"/>
      <c r="D25" s="48"/>
      <c r="E25" s="48"/>
      <c r="F25" s="48"/>
      <c r="G25" s="48"/>
      <c r="H25" s="49"/>
      <c r="I25" s="113"/>
      <c r="J25" s="114"/>
      <c r="K25" s="115"/>
    </row>
    <row r="26" s="10" customFormat="1" ht="20.1" customHeight="1" spans="1:11">
      <c r="A26" s="42"/>
      <c r="B26" s="43"/>
      <c r="C26" s="43"/>
      <c r="D26" s="48"/>
      <c r="E26" s="48"/>
      <c r="F26" s="48"/>
      <c r="G26" s="48"/>
      <c r="H26" s="48"/>
      <c r="I26" s="116"/>
      <c r="J26" s="114"/>
      <c r="K26" s="115"/>
    </row>
    <row r="27" s="10" customFormat="1" ht="20.1" customHeight="1" spans="1:11">
      <c r="A27" s="42"/>
      <c r="B27" s="43"/>
      <c r="C27" s="43"/>
      <c r="D27" s="48"/>
      <c r="E27" s="48"/>
      <c r="F27" s="48"/>
      <c r="G27" s="48"/>
      <c r="H27" s="49"/>
      <c r="I27" s="113"/>
      <c r="J27" s="114"/>
      <c r="K27" s="115"/>
    </row>
    <row r="28" s="10" customFormat="1" ht="20.1" customHeight="1" spans="1:11">
      <c r="A28" s="42"/>
      <c r="B28" s="43"/>
      <c r="C28" s="43"/>
      <c r="D28" s="48"/>
      <c r="E28" s="48"/>
      <c r="F28" s="48"/>
      <c r="G28" s="48"/>
      <c r="H28" s="48"/>
      <c r="I28" s="116"/>
      <c r="J28" s="114"/>
      <c r="K28" s="115"/>
    </row>
    <row r="29" s="10" customFormat="1" ht="20.1" customHeight="1" spans="1:11">
      <c r="A29" s="42"/>
      <c r="B29" s="43"/>
      <c r="C29" s="43"/>
      <c r="D29" s="48"/>
      <c r="E29" s="48"/>
      <c r="F29" s="48"/>
      <c r="G29" s="48"/>
      <c r="H29" s="49"/>
      <c r="I29" s="113"/>
      <c r="J29" s="114"/>
      <c r="K29" s="115"/>
    </row>
    <row r="30" s="10" customFormat="1" ht="20.1" customHeight="1" spans="1:11">
      <c r="A30" s="42"/>
      <c r="B30" s="43"/>
      <c r="C30" s="43"/>
      <c r="D30" s="48"/>
      <c r="E30" s="48"/>
      <c r="F30" s="48"/>
      <c r="G30" s="48"/>
      <c r="H30" s="48"/>
      <c r="I30" s="116"/>
      <c r="J30" s="114"/>
      <c r="K30" s="115"/>
    </row>
    <row r="31" s="10" customFormat="1" ht="20.1" customHeight="1" spans="1:11">
      <c r="A31" s="50"/>
      <c r="B31" s="51"/>
      <c r="C31" s="43"/>
      <c r="D31" s="48"/>
      <c r="E31" s="48"/>
      <c r="F31" s="48"/>
      <c r="G31" s="48"/>
      <c r="H31" s="49"/>
      <c r="I31" s="117"/>
      <c r="J31" s="118"/>
      <c r="K31" s="115"/>
    </row>
    <row r="32" s="10" customFormat="1" ht="18" customHeight="1" spans="1:11">
      <c r="A32" s="39"/>
      <c r="B32" s="52"/>
      <c r="C32" s="48"/>
      <c r="D32" s="48"/>
      <c r="E32" s="48"/>
      <c r="F32" s="48"/>
      <c r="G32" s="48"/>
      <c r="H32" s="48"/>
      <c r="I32" s="52"/>
      <c r="J32" s="62"/>
      <c r="K32" s="119"/>
    </row>
    <row r="33" s="10" customFormat="1" ht="18" hidden="1" customHeight="1" spans="1:11">
      <c r="A33" s="39"/>
      <c r="B33" s="53"/>
      <c r="C33" s="52"/>
      <c r="D33" s="52"/>
      <c r="E33" s="52"/>
      <c r="F33" s="52"/>
      <c r="G33" s="52"/>
      <c r="H33" s="48"/>
      <c r="I33" s="49"/>
      <c r="J33" s="120"/>
      <c r="K33" s="120"/>
    </row>
    <row r="34" s="10" customFormat="1" ht="36" customHeight="1" spans="1:11">
      <c r="A34" s="54"/>
      <c r="B34" s="55" t="s">
        <v>67</v>
      </c>
      <c r="C34" s="56"/>
      <c r="D34" s="56"/>
      <c r="E34" s="56"/>
      <c r="F34" s="56"/>
      <c r="G34" s="57"/>
      <c r="H34" s="54"/>
      <c r="I34" s="121" t="s">
        <v>68</v>
      </c>
      <c r="J34" s="122">
        <f>SUM($J$17:$K$32)</f>
        <v>2250</v>
      </c>
      <c r="K34" s="123"/>
    </row>
    <row r="35" s="10" customFormat="1" ht="15.75" customHeight="1" spans="1:12">
      <c r="A35" s="39"/>
      <c r="B35" s="58" t="s">
        <v>89</v>
      </c>
      <c r="C35" s="59"/>
      <c r="D35" s="59"/>
      <c r="E35" s="59"/>
      <c r="F35" s="59"/>
      <c r="G35" s="60"/>
      <c r="H35" s="54"/>
      <c r="I35" s="29"/>
      <c r="J35" s="124"/>
      <c r="K35" s="125"/>
      <c r="L35" s="106"/>
    </row>
    <row r="36" s="10" customFormat="1" ht="21" customHeight="1" spans="1:11">
      <c r="A36" s="39"/>
      <c r="B36" s="61"/>
      <c r="C36" s="62"/>
      <c r="D36" s="62"/>
      <c r="E36" s="62"/>
      <c r="F36" s="62"/>
      <c r="G36" s="63"/>
      <c r="H36" s="54"/>
      <c r="I36" s="126"/>
      <c r="J36" s="127"/>
      <c r="K36" s="128"/>
    </row>
    <row r="37" s="10" customFormat="1" ht="16.15" customHeight="1" spans="1:11">
      <c r="A37" s="39"/>
      <c r="B37" s="61"/>
      <c r="C37" s="62"/>
      <c r="D37" s="62"/>
      <c r="E37" s="62"/>
      <c r="F37" s="62"/>
      <c r="G37" s="63"/>
      <c r="H37" s="54"/>
      <c r="I37" s="126" t="s">
        <v>71</v>
      </c>
      <c r="J37" s="129">
        <v>1</v>
      </c>
      <c r="K37" s="130">
        <v>1</v>
      </c>
    </row>
    <row r="38" s="10" customFormat="1" ht="15.75" customHeight="1" spans="1:14">
      <c r="A38" s="50"/>
      <c r="B38" s="64" t="s">
        <v>72</v>
      </c>
      <c r="C38" s="65"/>
      <c r="D38" s="65"/>
      <c r="E38" s="65"/>
      <c r="F38" s="65"/>
      <c r="G38" s="66"/>
      <c r="H38" s="54"/>
      <c r="I38" s="126" t="s">
        <v>70</v>
      </c>
      <c r="J38" s="131">
        <v>0.19</v>
      </c>
      <c r="K38" s="132"/>
      <c r="N38" s="133"/>
    </row>
    <row r="39" s="10" customFormat="1" ht="20.1" customHeight="1" spans="1:11">
      <c r="A39" s="39"/>
      <c r="B39" s="67" t="s">
        <v>90</v>
      </c>
      <c r="C39" s="68" t="s">
        <v>91</v>
      </c>
      <c r="D39" s="68" t="s">
        <v>92</v>
      </c>
      <c r="E39" s="68" t="s">
        <v>93</v>
      </c>
      <c r="G39" s="69"/>
      <c r="H39" s="54"/>
      <c r="I39" s="134" t="s">
        <v>94</v>
      </c>
      <c r="J39" s="135">
        <f>(J34*1.19)+J37</f>
        <v>2678.5</v>
      </c>
      <c r="K39" s="136"/>
    </row>
    <row r="40" s="10" customFormat="1" ht="18" customHeight="1" spans="1:11">
      <c r="A40" s="50"/>
      <c r="B40" s="67" t="str">
        <f>"  00004"</f>
        <v>00004</v>
      </c>
      <c r="C40" s="70" t="str">
        <f>"00144"</f>
        <v>00144</v>
      </c>
      <c r="D40" s="6" t="s">
        <v>95</v>
      </c>
      <c r="E40" s="70"/>
      <c r="F40" s="71"/>
      <c r="G40" s="72"/>
      <c r="H40" s="54"/>
      <c r="I40" s="78"/>
      <c r="J40" s="78"/>
      <c r="K40" s="78"/>
    </row>
    <row r="41" s="10" customFormat="1" ht="18" customHeight="1" spans="1:16">
      <c r="A41" s="39"/>
      <c r="B41" s="73"/>
      <c r="C41" s="67" t="s">
        <v>78</v>
      </c>
      <c r="D41" s="70"/>
      <c r="E41" s="70"/>
      <c r="F41" s="71"/>
      <c r="G41" s="72"/>
      <c r="J41" s="78"/>
      <c r="P41" s="78" t="s">
        <v>96</v>
      </c>
    </row>
    <row r="42" s="10" customFormat="1" ht="28.15" customHeight="1" spans="1:8">
      <c r="A42" s="39"/>
      <c r="B42" s="74"/>
      <c r="C42" s="75" t="s">
        <v>97</v>
      </c>
      <c r="D42" s="75"/>
      <c r="E42" s="76"/>
      <c r="F42" s="76"/>
      <c r="G42" s="77"/>
      <c r="H42" s="78"/>
    </row>
    <row r="43" ht="26.45" customHeight="1" spans="1:15">
      <c r="A43" s="79"/>
      <c r="B43" s="80" t="s">
        <v>98</v>
      </c>
      <c r="C43" s="80"/>
      <c r="D43" s="80"/>
      <c r="E43" s="80"/>
      <c r="F43" s="80"/>
      <c r="G43" s="81"/>
      <c r="I43" s="78"/>
      <c r="J43" s="78"/>
      <c r="K43" s="78"/>
      <c r="O43" s="78" t="s">
        <v>96</v>
      </c>
    </row>
    <row r="44" s="10" customFormat="1" ht="41.45" customHeight="1" spans="1:11">
      <c r="A44" s="50"/>
      <c r="B44" s="82" t="s">
        <v>80</v>
      </c>
      <c r="C44" s="83"/>
      <c r="D44" s="83"/>
      <c r="E44" s="83"/>
      <c r="F44" s="83"/>
      <c r="G44" s="83"/>
      <c r="H44" s="83"/>
      <c r="I44" s="83"/>
      <c r="J44" s="83"/>
      <c r="K44" s="137"/>
    </row>
    <row r="45" s="10" customFormat="1" ht="18" customHeight="1" spans="1:11">
      <c r="A45" s="39"/>
      <c r="B45" s="84" t="str">
        <f>"Si vous avez des questions concernant ce Devis, veuillez nous contacter."&amp;Settings!$B$23</f>
        <v>Si vous avez des questions concernant ce Devis, veuillez nous contacter.</v>
      </c>
      <c r="C45" s="85"/>
      <c r="D45" s="85"/>
      <c r="E45" s="85"/>
      <c r="F45" s="85"/>
      <c r="G45" s="85"/>
      <c r="H45" s="85"/>
      <c r="I45" s="85"/>
      <c r="J45" s="85"/>
      <c r="K45" s="138"/>
    </row>
    <row r="46" s="10" customFormat="1" ht="18" customHeight="1" spans="1:11">
      <c r="A46" s="39"/>
      <c r="B46" s="86"/>
      <c r="C46" s="78"/>
      <c r="D46" s="78"/>
      <c r="E46" s="78"/>
      <c r="F46" s="78"/>
      <c r="G46" s="78"/>
      <c r="H46" s="78"/>
      <c r="I46" s="78"/>
      <c r="J46" s="78"/>
      <c r="K46" s="78"/>
    </row>
    <row r="47" ht="26.45" customHeight="1" spans="2:11">
      <c r="B47" s="29" t="str">
        <f>"Tel: "&amp;Settings!$B$17&amp;" Fax: "&amp;Settings!$B$18&amp;IF(ISBLANK(Settings!$B$19)," "," E-mail: "&amp;Settings!$B$19)&amp;IF(ISBLANK(Settings!$B$20)," "," Web: "&amp;Settings!$B$20)</f>
        <v>Tel:    +216 55 466 087 Fax:  E-mail: contact@sougui.tn Web: www.sougui.tn</v>
      </c>
      <c r="C47" s="42"/>
      <c r="D47" s="42"/>
      <c r="E47" s="42"/>
      <c r="F47" s="42"/>
      <c r="G47" s="42"/>
      <c r="H47" s="42"/>
      <c r="I47" s="42"/>
      <c r="J47" s="42"/>
      <c r="K47" s="106"/>
    </row>
    <row r="48" s="10" customFormat="1" ht="18" customHeight="1" spans="2:15">
      <c r="B48" s="87" t="str">
        <f>Settings!$B$10&amp;" "&amp;Settings!$B$11&amp;", "&amp;Settings!$B$12&amp;IF(ISBLANK(Settings!$B$13),", ",", "&amp;Settings!$B$13&amp;", ")&amp;IF(ISBLANK(Settings!$B$14),"",""&amp;Settings!$B$14&amp;", ")&amp;Settings!$B$15</f>
        <v>18 Rue Mokhtar Attia , Megrine, Ben Arous, 2033</v>
      </c>
      <c r="C48" s="88"/>
      <c r="D48" s="88"/>
      <c r="E48" s="88"/>
      <c r="F48" s="88"/>
      <c r="G48" s="88"/>
      <c r="H48" s="88"/>
      <c r="I48" s="88"/>
      <c r="J48" s="88"/>
      <c r="K48" s="139"/>
      <c r="O48" s="62"/>
    </row>
    <row r="49" s="10" customFormat="1" ht="18" customHeight="1" spans="2:15">
      <c r="B49" s="23"/>
      <c r="C49" s="23"/>
      <c r="D49" s="23"/>
      <c r="E49" s="23"/>
      <c r="F49" s="23"/>
      <c r="G49" s="23"/>
      <c r="H49" s="23"/>
      <c r="I49" s="23"/>
      <c r="J49" s="23"/>
      <c r="K49" s="23"/>
      <c r="O49" s="62"/>
    </row>
    <row r="50" ht="21" customHeight="1" spans="1:11">
      <c r="A50" s="89"/>
      <c r="B50" s="90"/>
      <c r="C50" s="91"/>
      <c r="D50" s="91"/>
      <c r="E50" s="91"/>
      <c r="F50" s="91"/>
      <c r="G50" s="91"/>
      <c r="H50" s="91"/>
      <c r="I50" s="91"/>
      <c r="J50" s="91"/>
      <c r="K50" s="140"/>
    </row>
    <row r="51" ht="19.15" customHeight="1" spans="1:11">
      <c r="A51" s="92"/>
      <c r="B51" s="16"/>
      <c r="C51" s="93"/>
      <c r="D51" s="93"/>
      <c r="E51" s="93"/>
      <c r="F51" s="93"/>
      <c r="G51" s="93"/>
      <c r="H51" s="93"/>
      <c r="I51" s="93"/>
      <c r="J51" s="93"/>
      <c r="K51" s="141"/>
    </row>
    <row r="52" s="10" customFormat="1" ht="18" customHeight="1" spans="1:1">
      <c r="A52" s="94"/>
    </row>
    <row r="53" s="10" customFormat="1" ht="18" customHeight="1"/>
  </sheetData>
  <mergeCells count="64">
    <mergeCell ref="B4:E4"/>
    <mergeCell ref="J4:K4"/>
    <mergeCell ref="B5:E5"/>
    <mergeCell ref="J5:K5"/>
    <mergeCell ref="J6:K6"/>
    <mergeCell ref="B9:E9"/>
    <mergeCell ref="H9:K9"/>
    <mergeCell ref="C10:E10"/>
    <mergeCell ref="I10:K10"/>
    <mergeCell ref="C11:E11"/>
    <mergeCell ref="I11:K11"/>
    <mergeCell ref="C12:E12"/>
    <mergeCell ref="I12:K12"/>
    <mergeCell ref="C13:E13"/>
    <mergeCell ref="I13:K13"/>
    <mergeCell ref="B14:E14"/>
    <mergeCell ref="H14:K14"/>
    <mergeCell ref="C16:G16"/>
    <mergeCell ref="J16:K16"/>
    <mergeCell ref="C17:G17"/>
    <mergeCell ref="J17:K17"/>
    <mergeCell ref="C18:G18"/>
    <mergeCell ref="J18:K18"/>
    <mergeCell ref="C19:G19"/>
    <mergeCell ref="J19:K19"/>
    <mergeCell ref="C20:G20"/>
    <mergeCell ref="J20:K20"/>
    <mergeCell ref="C21:G21"/>
    <mergeCell ref="J21:K21"/>
    <mergeCell ref="C22:G22"/>
    <mergeCell ref="J22:K22"/>
    <mergeCell ref="C23:G23"/>
    <mergeCell ref="J23:K23"/>
    <mergeCell ref="C24:G24"/>
    <mergeCell ref="J24:K24"/>
    <mergeCell ref="C25:G25"/>
    <mergeCell ref="J25:K25"/>
    <mergeCell ref="C26:G26"/>
    <mergeCell ref="J26:K26"/>
    <mergeCell ref="C27:G27"/>
    <mergeCell ref="J27:K27"/>
    <mergeCell ref="C28:G28"/>
    <mergeCell ref="J28:K28"/>
    <mergeCell ref="C29:G29"/>
    <mergeCell ref="J29:K29"/>
    <mergeCell ref="C30:G30"/>
    <mergeCell ref="J30:K30"/>
    <mergeCell ref="C31:G31"/>
    <mergeCell ref="J31:K31"/>
    <mergeCell ref="C32:G32"/>
    <mergeCell ref="B34:G34"/>
    <mergeCell ref="J34:K34"/>
    <mergeCell ref="J35:K35"/>
    <mergeCell ref="J36:K36"/>
    <mergeCell ref="J37:K37"/>
    <mergeCell ref="B38:G38"/>
    <mergeCell ref="J38:K38"/>
    <mergeCell ref="J39:K39"/>
    <mergeCell ref="B43:G43"/>
    <mergeCell ref="B44:K44"/>
    <mergeCell ref="B45:K45"/>
    <mergeCell ref="B47:K47"/>
    <mergeCell ref="B48:K48"/>
    <mergeCell ref="B35:G37"/>
  </mergeCells>
  <conditionalFormatting sqref="J1">
    <cfRule type="expression" dxfId="6" priority="18" stopIfTrue="1">
      <formula>IF(#REF!="No Color",TRUE,FALSE)</formula>
    </cfRule>
    <cfRule type="expression" dxfId="7" priority="19" stopIfTrue="1">
      <formula>IF(#REF!="Red",TRUE,FALSE)</formula>
    </cfRule>
    <cfRule type="expression" dxfId="8" priority="20" stopIfTrue="1">
      <formula>IF(#REF!="Green",TRUE,FALSE)</formula>
    </cfRule>
  </conditionalFormatting>
  <conditionalFormatting sqref="J16:K16">
    <cfRule type="expression" dxfId="0" priority="15" stopIfTrue="1">
      <formula>IF(#REF!="No Color",TRUE,FALSE)</formula>
    </cfRule>
    <cfRule type="expression" dxfId="1" priority="16" stopIfTrue="1">
      <formula>IF(#REF!="Red",TRUE,FALSE)</formula>
    </cfRule>
    <cfRule type="expression" dxfId="2" priority="17" stopIfTrue="1">
      <formula>IF(#REF!="Green",TRUE,FALSE)</formula>
    </cfRule>
  </conditionalFormatting>
  <conditionalFormatting sqref="B17:C17">
    <cfRule type="expression" dxfId="9" priority="4" stopIfTrue="1">
      <formula>MOD(ROW(),2)=1</formula>
    </cfRule>
  </conditionalFormatting>
  <conditionalFormatting sqref="B34:G34">
    <cfRule type="expression" dxfId="10" priority="1" stopIfTrue="1">
      <formula>IF(#REF!="No Color",TRUE,FALSE)</formula>
    </cfRule>
    <cfRule type="expression" dxfId="11" priority="2" stopIfTrue="1">
      <formula>IF(#REF!="Red",TRUE,FALSE)</formula>
    </cfRule>
    <cfRule type="expression" dxfId="12" priority="3" stopIfTrue="1">
      <formula>IF(#REF!="Green",TRUE,FALSE)</formula>
    </cfRule>
  </conditionalFormatting>
  <conditionalFormatting sqref="K2:K3">
    <cfRule type="expression" dxfId="6" priority="5" stopIfTrue="1">
      <formula>IF(#REF!="No Color",TRUE,FALSE)</formula>
    </cfRule>
    <cfRule type="expression" dxfId="7" priority="6" stopIfTrue="1">
      <formula>IF(#REF!="Red",TRUE,FALSE)</formula>
    </cfRule>
    <cfRule type="expression" dxfId="8" priority="7" stopIfTrue="1">
      <formula>IF(#REF!="Green",TRUE,FALSE)</formula>
    </cfRule>
  </conditionalFormatting>
  <dataValidations count="6">
    <dataValidation allowBlank="1" showInputMessage="1" showErrorMessage="1" prompt="Enter the invoice date, currently using =TODAY() to display today's date automatically" sqref="J4:K4"/>
    <dataValidation allowBlank="1" showInputMessage="1" showErrorMessage="1" prompt="Enter the invoice number" sqref="J5:K5"/>
    <dataValidation allowBlank="1" showInputMessage="1" showErrorMessage="1" prompt="Enter the Customer ID when or if applicable" sqref="J6:K6"/>
    <dataValidation allowBlank="1" showInputMessage="1" showErrorMessage="1" prompt="Enter the Purchase Order Number when or if applicable" sqref="J7:K7"/>
    <dataValidation type="list" allowBlank="1" showInputMessage="1" showErrorMessage="1" sqref="I10:K10">
      <formula1>Adresses!$A$2:$A$1048576</formula1>
    </dataValidation>
    <dataValidation allowBlank="1" showInputMessage="1" showErrorMessage="1" prompt="Enter the amounts in these cells.&#10;Amounts can also be entered in the cells by using simple formula, such as =4*10 when needed" sqref="J17:K33"/>
  </dataValidations>
  <pageMargins left="0.354330708661417" right="0.354330708661417" top="0.196850393700787" bottom="0.196850393700787" header="0.511811023622047" footer="0.511811023622047"/>
  <pageSetup paperSize="9" scale="7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4"/>
  <dimension ref="A1:C13"/>
  <sheetViews>
    <sheetView tabSelected="1" workbookViewId="0">
      <selection activeCell="B19" sqref="B19"/>
    </sheetView>
  </sheetViews>
  <sheetFormatPr defaultColWidth="9.14285714285714" defaultRowHeight="12.75" outlineLevelCol="2"/>
  <cols>
    <col min="1" max="1" width="31" customWidth="1"/>
    <col min="2" max="2" width="65.2857142857143" customWidth="1"/>
    <col min="3" max="3" width="18.7142857142857" customWidth="1"/>
  </cols>
  <sheetData>
    <row r="1" spans="1:3">
      <c r="A1" s="8" t="s">
        <v>99</v>
      </c>
      <c r="B1" s="8" t="s">
        <v>51</v>
      </c>
      <c r="C1" s="8" t="s">
        <v>100</v>
      </c>
    </row>
    <row r="2" spans="1:3">
      <c r="A2" t="s">
        <v>101</v>
      </c>
      <c r="B2" t="s">
        <v>102</v>
      </c>
      <c r="C2" t="s">
        <v>103</v>
      </c>
    </row>
    <row r="3" spans="1:3">
      <c r="A3" t="s">
        <v>104</v>
      </c>
      <c r="B3" t="s">
        <v>105</v>
      </c>
      <c r="C3" t="s">
        <v>106</v>
      </c>
    </row>
    <row r="4" spans="1:3">
      <c r="A4" s="6" t="s">
        <v>107</v>
      </c>
      <c r="B4" s="6" t="s">
        <v>108</v>
      </c>
      <c r="C4" s="6" t="s">
        <v>109</v>
      </c>
    </row>
    <row r="5" spans="1:3">
      <c r="A5" s="6" t="s">
        <v>110</v>
      </c>
      <c r="B5" s="6" t="s">
        <v>111</v>
      </c>
      <c r="C5" s="6" t="s">
        <v>112</v>
      </c>
    </row>
    <row r="6" spans="1:3">
      <c r="A6" s="9" t="s">
        <v>113</v>
      </c>
      <c r="B6" s="6" t="s">
        <v>114</v>
      </c>
      <c r="C6" s="6" t="s">
        <v>115</v>
      </c>
    </row>
    <row r="7" spans="1:3">
      <c r="A7" s="6" t="s">
        <v>116</v>
      </c>
      <c r="B7" s="6" t="s">
        <v>117</v>
      </c>
      <c r="C7" t="s">
        <v>118</v>
      </c>
    </row>
    <row r="8" spans="1:2">
      <c r="A8" s="9" t="s">
        <v>119</v>
      </c>
      <c r="B8" s="6" t="s">
        <v>120</v>
      </c>
    </row>
    <row r="9" spans="1:3">
      <c r="A9" s="6" t="s">
        <v>121</v>
      </c>
      <c r="B9" s="6" t="s">
        <v>122</v>
      </c>
      <c r="C9" t="s">
        <v>123</v>
      </c>
    </row>
    <row r="10" spans="1:3">
      <c r="A10" s="6" t="s">
        <v>124</v>
      </c>
      <c r="B10" s="6" t="s">
        <v>125</v>
      </c>
      <c r="C10" t="s">
        <v>126</v>
      </c>
    </row>
    <row r="11" spans="1:2">
      <c r="A11" s="9" t="s">
        <v>127</v>
      </c>
      <c r="B11" s="6" t="s">
        <v>128</v>
      </c>
    </row>
    <row r="12" spans="1:3">
      <c r="A12" s="6" t="s">
        <v>85</v>
      </c>
      <c r="B12" s="6" t="s">
        <v>129</v>
      </c>
      <c r="C12" t="s">
        <v>130</v>
      </c>
    </row>
    <row r="13" spans="1:3">
      <c r="A13" s="6" t="s">
        <v>45</v>
      </c>
      <c r="B13" s="6" t="s">
        <v>131</v>
      </c>
      <c r="C13" t="s">
        <v>132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5"/>
  <dimension ref="A1:N11"/>
  <sheetViews>
    <sheetView workbookViewId="0">
      <selection activeCell="B44" sqref="B44"/>
    </sheetView>
  </sheetViews>
  <sheetFormatPr defaultColWidth="9.14285714285714" defaultRowHeight="12.75"/>
  <cols>
    <col min="1" max="1" width="18.8571428571429" customWidth="1"/>
    <col min="2" max="2" width="25.5714285714286" customWidth="1"/>
    <col min="3" max="3" width="19" customWidth="1"/>
    <col min="4" max="4" width="13.8571428571429" customWidth="1"/>
    <col min="5" max="5" width="11.1428571428571" customWidth="1"/>
    <col min="10" max="10" width="8.71428571428571" customWidth="1"/>
    <col min="11" max="11" width="25.5714285714286" customWidth="1"/>
    <col min="12" max="12" width="15.5714285714286" customWidth="1"/>
    <col min="13" max="13" width="15.4285714285714" customWidth="1"/>
  </cols>
  <sheetData>
    <row r="1" ht="34.9" customHeight="1" spans="1:14">
      <c r="A1" s="1" t="s">
        <v>133</v>
      </c>
      <c r="B1" s="1" t="s">
        <v>134</v>
      </c>
      <c r="C1" s="1" t="s">
        <v>135</v>
      </c>
      <c r="D1" s="1" t="s">
        <v>136</v>
      </c>
      <c r="E1" s="2" t="s">
        <v>137</v>
      </c>
      <c r="J1" s="7" t="s">
        <v>138</v>
      </c>
      <c r="K1" s="1" t="s">
        <v>134</v>
      </c>
      <c r="L1" s="1" t="s">
        <v>135</v>
      </c>
      <c r="M1" s="1" t="s">
        <v>139</v>
      </c>
      <c r="N1" s="2" t="s">
        <v>137</v>
      </c>
    </row>
    <row r="2" spans="1:13">
      <c r="A2" s="3">
        <v>24044</v>
      </c>
      <c r="B2" s="3" t="s">
        <v>140</v>
      </c>
      <c r="C2" s="3" t="s">
        <v>141</v>
      </c>
      <c r="D2" s="3">
        <v>1797</v>
      </c>
      <c r="E2" s="4">
        <v>45484</v>
      </c>
      <c r="J2">
        <v>30</v>
      </c>
      <c r="K2" t="s">
        <v>142</v>
      </c>
      <c r="L2" t="s">
        <v>143</v>
      </c>
      <c r="M2">
        <v>1000</v>
      </c>
    </row>
    <row r="3" spans="1:13">
      <c r="A3" s="3">
        <v>393</v>
      </c>
      <c r="B3" s="3" t="s">
        <v>144</v>
      </c>
      <c r="C3" s="3" t="s">
        <v>145</v>
      </c>
      <c r="D3" s="3">
        <v>375.2</v>
      </c>
      <c r="E3" s="4">
        <v>45490</v>
      </c>
      <c r="J3">
        <v>31</v>
      </c>
      <c r="K3" t="s">
        <v>146</v>
      </c>
      <c r="L3" t="s">
        <v>147</v>
      </c>
      <c r="M3">
        <v>1276</v>
      </c>
    </row>
    <row r="4" spans="1:13">
      <c r="A4" s="3">
        <v>3732</v>
      </c>
      <c r="B4" s="3" t="s">
        <v>148</v>
      </c>
      <c r="C4" s="3" t="s">
        <v>149</v>
      </c>
      <c r="D4" s="3">
        <v>210.25</v>
      </c>
      <c r="E4" s="4">
        <v>45488</v>
      </c>
      <c r="J4">
        <v>32</v>
      </c>
      <c r="K4" t="s">
        <v>150</v>
      </c>
      <c r="L4" t="s">
        <v>143</v>
      </c>
      <c r="M4">
        <v>1139.206</v>
      </c>
    </row>
    <row r="5" spans="1:13">
      <c r="A5" s="3" t="s">
        <v>151</v>
      </c>
      <c r="B5" s="3" t="s">
        <v>152</v>
      </c>
      <c r="C5" s="3" t="s">
        <v>153</v>
      </c>
      <c r="D5" s="3">
        <v>1500</v>
      </c>
      <c r="E5" s="4">
        <v>45493</v>
      </c>
      <c r="J5">
        <v>33</v>
      </c>
      <c r="K5" t="s">
        <v>154</v>
      </c>
      <c r="L5" t="s">
        <v>155</v>
      </c>
      <c r="M5">
        <v>447.448</v>
      </c>
    </row>
    <row r="6" spans="1:13">
      <c r="A6" s="3"/>
      <c r="B6" s="3" t="s">
        <v>156</v>
      </c>
      <c r="C6" s="3" t="s">
        <v>157</v>
      </c>
      <c r="D6" s="3">
        <v>430</v>
      </c>
      <c r="E6" s="4"/>
      <c r="J6">
        <v>34</v>
      </c>
      <c r="K6" t="s">
        <v>158</v>
      </c>
      <c r="L6" t="s">
        <v>159</v>
      </c>
      <c r="M6">
        <v>900</v>
      </c>
    </row>
    <row r="7" spans="1:13">
      <c r="A7" s="3"/>
      <c r="B7" s="3"/>
      <c r="C7" s="3"/>
      <c r="D7" s="3"/>
      <c r="E7" s="5"/>
      <c r="J7">
        <v>35</v>
      </c>
      <c r="K7" t="s">
        <v>160</v>
      </c>
      <c r="L7" t="s">
        <v>161</v>
      </c>
      <c r="M7">
        <v>130</v>
      </c>
    </row>
    <row r="8" spans="2:5">
      <c r="B8" s="3"/>
      <c r="C8" s="3"/>
      <c r="D8" s="3"/>
      <c r="E8" s="5"/>
    </row>
    <row r="9" spans="2:5">
      <c r="B9" s="3"/>
      <c r="C9" s="3"/>
      <c r="D9" s="3"/>
      <c r="E9" s="5"/>
    </row>
    <row r="10" spans="2:5">
      <c r="B10" s="3"/>
      <c r="C10" s="3"/>
      <c r="D10" s="3"/>
      <c r="E10" s="5"/>
    </row>
    <row r="11" spans="2:5">
      <c r="B11" s="3"/>
      <c r="C11" s="3"/>
      <c r="D11" s="3"/>
      <c r="E11" s="5"/>
    </row>
  </sheetData>
  <conditionalFormatting sqref="A1:E1">
    <cfRule type="expression" dxfId="13" priority="7" stopIfTrue="1">
      <formula>IF(#REF!="No Color",TRUE,FALSE)</formula>
    </cfRule>
    <cfRule type="expression" dxfId="14" priority="8" stopIfTrue="1">
      <formula>IF(#REF!="Red",TRUE,FALSE)</formula>
    </cfRule>
    <cfRule type="expression" dxfId="15" priority="9" stopIfTrue="1">
      <formula>IF(#REF!="Green",TRUE,FALSE)</formula>
    </cfRule>
  </conditionalFormatting>
  <conditionalFormatting sqref="J1:N1">
    <cfRule type="expression" dxfId="13" priority="1" stopIfTrue="1">
      <formula>IF(#REF!="No Color",TRUE,FALSE)</formula>
    </cfRule>
    <cfRule type="expression" dxfId="14" priority="2" stopIfTrue="1">
      <formula>IF(#REF!="Red",TRUE,FALSE)</formula>
    </cfRule>
    <cfRule type="expression" dxfId="15" priority="3" stopIfTrue="1">
      <formula>IF(#REF!="Green",TRUE,FALSE)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euil6"/>
  <dimension ref="A1:E23"/>
  <sheetViews>
    <sheetView workbookViewId="0">
      <selection activeCell="E39" sqref="E39"/>
    </sheetView>
  </sheetViews>
  <sheetFormatPr defaultColWidth="9.14285714285714" defaultRowHeight="12.75" outlineLevelCol="4"/>
  <cols>
    <col min="1" max="1" width="18.8571428571429" customWidth="1"/>
    <col min="2" max="2" width="22.4285714285714" customWidth="1"/>
    <col min="3" max="3" width="26" customWidth="1"/>
    <col min="4" max="4" width="13.8571428571429" customWidth="1"/>
    <col min="5" max="5" width="11.1428571428571" customWidth="1"/>
  </cols>
  <sheetData>
    <row r="1" ht="15" spans="1:5">
      <c r="A1" s="1" t="s">
        <v>133</v>
      </c>
      <c r="B1" s="1" t="s">
        <v>134</v>
      </c>
      <c r="C1" s="1" t="s">
        <v>162</v>
      </c>
      <c r="D1" s="1" t="s">
        <v>136</v>
      </c>
      <c r="E1" s="2" t="s">
        <v>137</v>
      </c>
    </row>
    <row r="2" spans="1:5">
      <c r="A2" s="3" t="s">
        <v>163</v>
      </c>
      <c r="B2" s="3" t="s">
        <v>164</v>
      </c>
      <c r="C2" s="3" t="s">
        <v>101</v>
      </c>
      <c r="D2" s="3">
        <v>490</v>
      </c>
      <c r="E2" s="4">
        <v>45412</v>
      </c>
    </row>
    <row r="3" spans="1:5">
      <c r="A3" s="3" t="s">
        <v>165</v>
      </c>
      <c r="B3" s="3" t="s">
        <v>166</v>
      </c>
      <c r="C3" s="3" t="s">
        <v>107</v>
      </c>
      <c r="D3" s="3">
        <v>631</v>
      </c>
      <c r="E3" s="4">
        <v>45414</v>
      </c>
    </row>
    <row r="4" spans="1:5">
      <c r="A4" s="3" t="s">
        <v>167</v>
      </c>
      <c r="B4" s="3" t="s">
        <v>168</v>
      </c>
      <c r="C4" s="3" t="s">
        <v>110</v>
      </c>
      <c r="D4" s="3">
        <v>845</v>
      </c>
      <c r="E4" s="4">
        <v>45427</v>
      </c>
    </row>
    <row r="5" spans="1:5">
      <c r="A5" s="3" t="s">
        <v>169</v>
      </c>
      <c r="B5" s="3" t="s">
        <v>166</v>
      </c>
      <c r="C5" s="3" t="s">
        <v>107</v>
      </c>
      <c r="D5" s="3">
        <v>727</v>
      </c>
      <c r="E5" s="5">
        <v>45440</v>
      </c>
    </row>
    <row r="6" spans="1:5">
      <c r="A6" t="s">
        <v>170</v>
      </c>
      <c r="B6" s="3" t="s">
        <v>171</v>
      </c>
      <c r="C6" s="3" t="s">
        <v>172</v>
      </c>
      <c r="D6" s="3">
        <v>31</v>
      </c>
      <c r="E6" s="5">
        <v>45455</v>
      </c>
    </row>
    <row r="7" spans="1:5">
      <c r="A7" t="s">
        <v>173</v>
      </c>
      <c r="B7" s="3" t="s">
        <v>174</v>
      </c>
      <c r="C7" s="3" t="s">
        <v>110</v>
      </c>
      <c r="D7" s="3">
        <v>4150</v>
      </c>
      <c r="E7" s="5">
        <v>45467</v>
      </c>
    </row>
    <row r="8" spans="1:5">
      <c r="A8" t="s">
        <v>175</v>
      </c>
      <c r="B8" s="3" t="s">
        <v>166</v>
      </c>
      <c r="C8" s="3" t="s">
        <v>107</v>
      </c>
      <c r="D8" s="3">
        <v>544</v>
      </c>
      <c r="E8" s="5">
        <v>45474</v>
      </c>
    </row>
    <row r="9" spans="1:5">
      <c r="A9" t="s">
        <v>176</v>
      </c>
      <c r="B9" s="3" t="s">
        <v>166</v>
      </c>
      <c r="C9" s="3" t="s">
        <v>107</v>
      </c>
      <c r="D9" s="3">
        <v>744</v>
      </c>
      <c r="E9" s="5">
        <v>45503</v>
      </c>
    </row>
    <row r="10" spans="1:5">
      <c r="A10" t="s">
        <v>177</v>
      </c>
      <c r="B10" s="3" t="s">
        <v>166</v>
      </c>
      <c r="C10" s="3" t="s">
        <v>107</v>
      </c>
      <c r="D10">
        <v>544</v>
      </c>
      <c r="E10" s="5">
        <v>45541</v>
      </c>
    </row>
    <row r="23" spans="5:5">
      <c r="E23" s="6" t="s">
        <v>178</v>
      </c>
    </row>
  </sheetData>
  <conditionalFormatting sqref="A1:E1">
    <cfRule type="expression" dxfId="13" priority="1" stopIfTrue="1">
      <formula>IF(#REF!="No Color",TRUE,FALSE)</formula>
    </cfRule>
    <cfRule type="expression" dxfId="14" priority="2" stopIfTrue="1">
      <formula>IF(#REF!="Red",TRUE,FALSE)</formula>
    </cfRule>
    <cfRule type="expression" dxfId="15" priority="3" stopIfTrue="1">
      <formula>IF(#REF!="Green",TRUE,FALSE)</formula>
    </cfRule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9486A5-D051-40A5-9188-68BE3C29329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Spreadsheet123 LTD</Company>
  <Application>Microsoft Excel Online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Settings</vt:lpstr>
      <vt:lpstr>Facture</vt:lpstr>
      <vt:lpstr>Devis</vt:lpstr>
      <vt:lpstr>Adresses</vt:lpstr>
      <vt:lpstr>Historiques Factures Achat</vt:lpstr>
      <vt:lpstr>Historiques Factures Vente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Facture Sougui</dc:title>
  <dc:creator>Raouf Achouch</dc:creator>
  <dc:description>© 2013 Spreadsheet123 LTD. All rights reserved</dc:description>
  <cp:lastModifiedBy>Raouaa Ben Mehrez</cp:lastModifiedBy>
  <dcterms:created xsi:type="dcterms:W3CDTF">2009-07-28T19:11:00Z</dcterms:created>
  <dcterms:modified xsi:type="dcterms:W3CDTF">2026-02-28T15:01:53Z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© 2013 Spreadsheet123 LTD</vt:lpwstr>
  </property>
  <property fmtid="{D5CDD505-2E9C-101B-9397-08002B2CF9AE}" pid="3" name="Version">
    <vt:lpwstr>1.0.1</vt:lpwstr>
  </property>
  <property fmtid="{D5CDD505-2E9C-101B-9397-08002B2CF9AE}" pid="4" name="ICV">
    <vt:lpwstr>64EAF047B798453DBF05F23930E0E57E_13</vt:lpwstr>
  </property>
  <property fmtid="{D5CDD505-2E9C-101B-9397-08002B2CF9AE}" pid="5" name="KSOProductBuildVer">
    <vt:lpwstr>1036-12.2.0.23196</vt:lpwstr>
  </property>
</Properties>
</file>